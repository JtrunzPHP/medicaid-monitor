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, annual updates\2019 annual HCPCS updates\MCP Distribution\"/>
    </mc:Choice>
  </mc:AlternateContent>
  <xr:revisionPtr revIDLastSave="0" documentId="13_ncr:1_{9F58DFA0-D5DF-438C-9471-0DBA68D0FEF0}" xr6:coauthVersionLast="40" xr6:coauthVersionMax="40" xr10:uidLastSave="{00000000-0000-0000-0000-000000000000}"/>
  <bookViews>
    <workbookView xWindow="0" yWindow="0" windowWidth="28800" windowHeight="11565" tabRatio="911" firstSheet="1" activeTab="1" xr2:uid="{00000000-000D-0000-FFFF-FFFF00000000}"/>
  </bookViews>
  <sheets>
    <sheet name="Internal Notes--Please Read" sheetId="1" state="hidden" r:id="rId1"/>
    <sheet name="Surgery, Medicine, Radiol, E&amp;M" sheetId="3" r:id="rId2"/>
    <sheet name="Behavioral Health" sheetId="17" r:id="rId3"/>
    <sheet name="Clinical Lab" sheetId="15" r:id="rId4"/>
    <sheet name="DMEPOS" sheetId="13" r:id="rId5"/>
    <sheet name="Provider-admin pharmaceuticals" sheetId="16" r:id="rId6"/>
  </sheets>
  <definedNames>
    <definedName name="_xlnm._FilterDatabase" localSheetId="3" hidden="1">'Clinical Lab'!$A$9:$F$87</definedName>
    <definedName name="_xlnm._FilterDatabase" localSheetId="4" hidden="1">DMEPOS!$A$9:$F$19</definedName>
    <definedName name="_xlnm._FilterDatabase" localSheetId="5" hidden="1">'Provider-admin pharmaceuticals'!$A$9:$G$45</definedName>
    <definedName name="_xlnm._FilterDatabase" localSheetId="1" hidden="1">'Surgery, Medicine, Radiol, E&amp;M'!$A$9:$M$121</definedName>
    <definedName name="_xlnm.Print_Area" localSheetId="3">'Clinical Lab'!$A$1:$G$87</definedName>
    <definedName name="_xlnm.Print_Area" localSheetId="4">DMEPOS!$A$1:$G$19</definedName>
    <definedName name="_xlnm.Print_Area" localSheetId="1">'Surgery, Medicine, Radiol, E&amp;M'!$A$1:$M$130</definedName>
    <definedName name="_xlnm.Print_Titles" localSheetId="3">'Clinical Lab'!$9:$9</definedName>
    <definedName name="_xlnm.Print_Titles" localSheetId="4">DMEPOS!$9:$9</definedName>
    <definedName name="_xlnm.Print_Titles" localSheetId="5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7" i="3" l="1"/>
  <c r="E55" i="3" l="1"/>
  <c r="F24" i="3"/>
  <c r="G23" i="3"/>
  <c r="G24" i="3" s="1"/>
  <c r="F23" i="3"/>
  <c r="F22" i="3"/>
  <c r="G21" i="3"/>
  <c r="F21" i="3"/>
  <c r="G20" i="3"/>
  <c r="G22" i="3" s="1"/>
  <c r="F20" i="3"/>
  <c r="G16" i="3"/>
  <c r="G15" i="3"/>
  <c r="F15" i="3"/>
  <c r="F16" i="3" s="1"/>
  <c r="G14" i="3"/>
  <c r="F14" i="3"/>
  <c r="G13" i="3"/>
  <c r="F13" i="3"/>
  <c r="G12" i="3"/>
  <c r="F12" i="3"/>
</calcChain>
</file>

<file path=xl/sharedStrings.xml><?xml version="1.0" encoding="utf-8"?>
<sst xmlns="http://schemas.openxmlformats.org/spreadsheetml/2006/main" count="864" uniqueCount="634">
  <si>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</si>
  <si>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</si>
  <si>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</si>
  <si>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</si>
  <si>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</si>
  <si>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</si>
  <si>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</si>
  <si>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</si>
  <si>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</si>
  <si>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</si>
  <si>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</si>
  <si>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</si>
  <si>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</si>
  <si>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</si>
  <si>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</si>
  <si>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</si>
  <si>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</si>
  <si>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</si>
  <si>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</si>
  <si>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</si>
  <si>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</si>
  <si>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</si>
  <si>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</si>
  <si>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</si>
  <si>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</si>
  <si>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</si>
  <si>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</si>
  <si>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</si>
  <si>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</si>
  <si>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</si>
  <si>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</si>
  <si>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</si>
  <si>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</si>
  <si>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</si>
  <si>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</si>
  <si>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</si>
  <si>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</si>
  <si>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</si>
  <si>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</si>
  <si>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</si>
  <si>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</si>
  <si>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</si>
  <si>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</si>
  <si>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</si>
  <si>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</si>
  <si>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</si>
  <si>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</si>
  <si>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</si>
  <si>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</si>
  <si>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</si>
  <si>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</si>
  <si>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</si>
  <si>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</si>
  <si>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</si>
  <si>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</si>
  <si>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</si>
  <si>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</si>
  <si>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</si>
  <si>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</si>
  <si>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</si>
  <si>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</si>
  <si>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</si>
  <si>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</si>
  <si>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</si>
  <si>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</si>
  <si>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</si>
  <si>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</si>
  <si>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</si>
  <si>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</si>
  <si>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</si>
  <si>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</si>
  <si>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</si>
  <si>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</si>
  <si>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</si>
  <si>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</si>
  <si>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</si>
  <si>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</si>
  <si>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</si>
  <si>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</si>
  <si>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</si>
  <si>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</si>
  <si>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</si>
  <si>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</si>
  <si>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</si>
  <si>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</si>
  <si>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</si>
  <si>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</si>
  <si>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</si>
  <si>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</si>
  <si>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</si>
  <si>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</si>
  <si>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</si>
  <si>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</si>
  <si>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</si>
  <si>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</si>
  <si>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</si>
  <si>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</si>
  <si>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</si>
  <si>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</si>
  <si>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</si>
  <si>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81163</t>
  </si>
  <si>
    <t>81164</t>
  </si>
  <si>
    <t>81165</t>
  </si>
  <si>
    <t>81166</t>
  </si>
  <si>
    <t>81167</t>
  </si>
  <si>
    <t>81171</t>
  </si>
  <si>
    <t>81172</t>
  </si>
  <si>
    <t>81173</t>
  </si>
  <si>
    <t>81174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</si>
  <si>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</si>
  <si>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</si>
  <si>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</si>
  <si>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</si>
  <si>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</si>
  <si>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</si>
  <si>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</si>
  <si>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</si>
  <si>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</si>
  <si>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</si>
  <si>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</si>
  <si>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</si>
  <si>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</si>
  <si>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</si>
  <si>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81204</t>
  </si>
  <si>
    <t>81233</t>
  </si>
  <si>
    <t>81234</t>
  </si>
  <si>
    <t>81236</t>
  </si>
  <si>
    <t>81237</t>
  </si>
  <si>
    <t>81239</t>
  </si>
  <si>
    <t>81271</t>
  </si>
  <si>
    <t>81274</t>
  </si>
  <si>
    <t>81284</t>
  </si>
  <si>
    <t>81285</t>
  </si>
  <si>
    <t>81286</t>
  </si>
  <si>
    <t>81289</t>
  </si>
  <si>
    <t>81305</t>
  </si>
  <si>
    <t>81306</t>
  </si>
  <si>
    <t>81312</t>
  </si>
  <si>
    <t>81320</t>
  </si>
  <si>
    <t>81329</t>
  </si>
  <si>
    <t>81333</t>
  </si>
  <si>
    <t>81336</t>
  </si>
  <si>
    <t>81337</t>
  </si>
  <si>
    <t>81343</t>
  </si>
  <si>
    <t>81344</t>
  </si>
  <si>
    <t>81345</t>
  </si>
  <si>
    <t>81443</t>
  </si>
  <si>
    <t>81518</t>
  </si>
  <si>
    <t>81596</t>
  </si>
  <si>
    <t>82642</t>
  </si>
  <si>
    <t>83722</t>
  </si>
  <si>
    <t>Brca1&amp;2 gene full seq alys</t>
  </si>
  <si>
    <t>Brca1&amp;2 gen ful dup/del alys</t>
  </si>
  <si>
    <t>Brca1 gene full seq alys</t>
  </si>
  <si>
    <t>Brca1 gene full dup/del alys</t>
  </si>
  <si>
    <t>Brca2 gene full dup/del alys</t>
  </si>
  <si>
    <t>Aff2 gene detc abnor alleles</t>
  </si>
  <si>
    <t>Aff2 gene charac alleles</t>
  </si>
  <si>
    <t>Ar gene full gene sequence</t>
  </si>
  <si>
    <t>Ar gene known famil variant</t>
  </si>
  <si>
    <t>Atn1 gene detc abnor alleles</t>
  </si>
  <si>
    <t>Atxn1 gene detc abnor allele</t>
  </si>
  <si>
    <t>Atxn2 gene detc abnor allele</t>
  </si>
  <si>
    <t>Atxn3 gene detc abnor allele</t>
  </si>
  <si>
    <t>Atxn7 gene detc abnor allele</t>
  </si>
  <si>
    <t>Atxn8os gen detc abnor allel</t>
  </si>
  <si>
    <t>Atxn10 gene detc abnor allel</t>
  </si>
  <si>
    <t>Cacna1a gen detc abnor allel</t>
  </si>
  <si>
    <t>Cacna1a gene full gene seq</t>
  </si>
  <si>
    <t>Cacna1a gen known famil vrnt</t>
  </si>
  <si>
    <t>Cnbp gene detc abnor allele</t>
  </si>
  <si>
    <t>Cstb gene detc abnor allele</t>
  </si>
  <si>
    <t>Cstb gene full gene sequence</t>
  </si>
  <si>
    <t>Cstb gene known famil vrnt</t>
  </si>
  <si>
    <t>Ar gene charac alleles</t>
  </si>
  <si>
    <t>Btk gene common variants</t>
  </si>
  <si>
    <t>Dmpk gene detc abnor allele</t>
  </si>
  <si>
    <t>Ezh2 gene full gene sequence</t>
  </si>
  <si>
    <t>Ezh2 gene common variants</t>
  </si>
  <si>
    <t>Dmpk gene charac alleles</t>
  </si>
  <si>
    <t>Htt gene detc abnor alleles</t>
  </si>
  <si>
    <t>Htt gene charac alleles</t>
  </si>
  <si>
    <t>Fxn gene detc abnor alleles</t>
  </si>
  <si>
    <t>Fxn gene charac alleles</t>
  </si>
  <si>
    <t>Fxn gene full gene sequence</t>
  </si>
  <si>
    <t>Fxn gene known famil variant</t>
  </si>
  <si>
    <t>Myd88 gene p.leu265pro vrnt</t>
  </si>
  <si>
    <t>Nudt15 gene common variants</t>
  </si>
  <si>
    <t>Pabpn1 gene detc abnor allel</t>
  </si>
  <si>
    <t>Plcg2 gene common variants</t>
  </si>
  <si>
    <t>Smn1 gene dos/deletion alys</t>
  </si>
  <si>
    <t>Tgfbi gene common variants</t>
  </si>
  <si>
    <t>Smn1 gene full gene sequence</t>
  </si>
  <si>
    <t>Smn1 gen nown famil seq vrnt</t>
  </si>
  <si>
    <t>Ppp2r2b gen detc abnor allel</t>
  </si>
  <si>
    <t>Tbp gene detc abnor alleles</t>
  </si>
  <si>
    <t>Tert gene targeted seq alys</t>
  </si>
  <si>
    <t>Genetic tstg severe inh cond</t>
  </si>
  <si>
    <t>Onc brst mrna 11 genes</t>
  </si>
  <si>
    <t>Nfct ds chrnc hcv 6 assays</t>
  </si>
  <si>
    <t>Dihydrotestosterone</t>
  </si>
  <si>
    <t>Lipoprtn dir meas sd ldl chl</t>
  </si>
  <si>
    <t>Brca1&amp;2 seq &amp; com dup/del</t>
  </si>
  <si>
    <t>Brca1&amp;2 uncom dup/del var</t>
  </si>
  <si>
    <t>Brca1 full seq &amp; com dup/del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</si>
  <si>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</si>
  <si>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</si>
  <si>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</si>
  <si>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</si>
  <si>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</si>
  <si>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</si>
  <si>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</si>
  <si>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</si>
  <si>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</si>
  <si>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11102</t>
  </si>
  <si>
    <t>11103</t>
  </si>
  <si>
    <t>11104</t>
  </si>
  <si>
    <t>11105</t>
  </si>
  <si>
    <t>11106</t>
  </si>
  <si>
    <t>11107</t>
  </si>
  <si>
    <t>20932</t>
  </si>
  <si>
    <t>20933</t>
  </si>
  <si>
    <t>20934</t>
  </si>
  <si>
    <t>27369</t>
  </si>
  <si>
    <t>33274</t>
  </si>
  <si>
    <t>33275</t>
  </si>
  <si>
    <t>33285</t>
  </si>
  <si>
    <t>33286</t>
  </si>
  <si>
    <t>33289</t>
  </si>
  <si>
    <t>33440</t>
  </si>
  <si>
    <t>33866</t>
  </si>
  <si>
    <t>36572</t>
  </si>
  <si>
    <t>36573</t>
  </si>
  <si>
    <t>38531</t>
  </si>
  <si>
    <t>43762</t>
  </si>
  <si>
    <t>43763</t>
  </si>
  <si>
    <t>50436</t>
  </si>
  <si>
    <t>50437</t>
  </si>
  <si>
    <t>53854</t>
  </si>
  <si>
    <t>76391</t>
  </si>
  <si>
    <t>76978</t>
  </si>
  <si>
    <t>76979</t>
  </si>
  <si>
    <t>76981</t>
  </si>
  <si>
    <t>76982</t>
  </si>
  <si>
    <t>76983</t>
  </si>
  <si>
    <t>77046</t>
  </si>
  <si>
    <t>77047</t>
  </si>
  <si>
    <t>77048</t>
  </si>
  <si>
    <t>77049</t>
  </si>
  <si>
    <t>Fna bx w/o img gdn ea addl</t>
  </si>
  <si>
    <t>Fna bx w/us gdn 1st les</t>
  </si>
  <si>
    <t>Fna bx w/us gdn ea addl</t>
  </si>
  <si>
    <t>Fna bx w/fluor gdn 1st les</t>
  </si>
  <si>
    <t>Fna bx w/fluor gdn ea addl</t>
  </si>
  <si>
    <t>Fna bx w/ct gdn 1st les</t>
  </si>
  <si>
    <t>Fna bx w/ct gdn ea addl</t>
  </si>
  <si>
    <t>Fna bx w/mr gdn 1st les</t>
  </si>
  <si>
    <t>Fna bx w/mr gdn ea addl</t>
  </si>
  <si>
    <t>Tangntl bx skin single les</t>
  </si>
  <si>
    <t>Tangntl bx skin ea sep/addl</t>
  </si>
  <si>
    <t>Punch bx skin single lesion</t>
  </si>
  <si>
    <t>Punch bx skin ea sep/addl</t>
  </si>
  <si>
    <t>Incal bx skn single les</t>
  </si>
  <si>
    <t>Incal bx skn ea sep/addl</t>
  </si>
  <si>
    <t>Osteoart algrft w/surf &amp; b1</t>
  </si>
  <si>
    <t>Hemicrt intrclry algrft prtl</t>
  </si>
  <si>
    <t>Intercalary algrft compl</t>
  </si>
  <si>
    <t>Njx cntrst kne arthg/ct/mri</t>
  </si>
  <si>
    <t>Tcat insj/rpl perm ldls pm</t>
  </si>
  <si>
    <t>Tcat rmvl perm ldls pm</t>
  </si>
  <si>
    <t>Insj subq car rhythm mntr</t>
  </si>
  <si>
    <t>Rmvl subq car rhythm mntr</t>
  </si>
  <si>
    <t>Tcat impl wrls p-art prs snr</t>
  </si>
  <si>
    <t>Rplcmt a-valve tlcj autol pv</t>
  </si>
  <si>
    <t>Aortic hemiarch graft</t>
  </si>
  <si>
    <t>Insj picc rs&amp;i &lt;5 yr</t>
  </si>
  <si>
    <t>Insj picc rs&amp;i 5 yr+</t>
  </si>
  <si>
    <t>Open bx/exc inguinofem nodes</t>
  </si>
  <si>
    <t>Rplc gtube no revj trc</t>
  </si>
  <si>
    <t>Rplc gtube revj gstrst trc</t>
  </si>
  <si>
    <t>Dilat xst trc ndurlgc px</t>
  </si>
  <si>
    <t>Dilat xst trc new access rcs</t>
  </si>
  <si>
    <t>Trurl dstrj prst8 tiss rf wv</t>
  </si>
  <si>
    <t>Mr elastography</t>
  </si>
  <si>
    <t>Us trgt dyn mbubb 1st les</t>
  </si>
  <si>
    <t>Us trgt dyn mbubb ea addl</t>
  </si>
  <si>
    <t>Use parenchyma</t>
  </si>
  <si>
    <t>Use 1st target lesion</t>
  </si>
  <si>
    <t>Use ea addl target lesion</t>
  </si>
  <si>
    <t>Mri breast c- unilateral</t>
  </si>
  <si>
    <t>Mri breast c- bilateral</t>
  </si>
  <si>
    <t>Mri breast c-+ w/cad uni</t>
  </si>
  <si>
    <t>Mri breast c-+ w/cad bi</t>
  </si>
  <si>
    <t>90689</t>
  </si>
  <si>
    <t>Vacc iiv4 no prsrv 0.25ml im</t>
  </si>
  <si>
    <t>J0185</t>
  </si>
  <si>
    <t>J0517</t>
  </si>
  <si>
    <t>J0567</t>
  </si>
  <si>
    <t>J0584</t>
  </si>
  <si>
    <t>J0599</t>
  </si>
  <si>
    <t>J0841</t>
  </si>
  <si>
    <t>J1301</t>
  </si>
  <si>
    <t>J1454</t>
  </si>
  <si>
    <t>J1628</t>
  </si>
  <si>
    <t>J1746</t>
  </si>
  <si>
    <t>J2062</t>
  </si>
  <si>
    <t>J2797</t>
  </si>
  <si>
    <t>J3245</t>
  </si>
  <si>
    <t>J3304</t>
  </si>
  <si>
    <t>J3316</t>
  </si>
  <si>
    <t>J3397</t>
  </si>
  <si>
    <t>J3398</t>
  </si>
  <si>
    <t>J3591</t>
  </si>
  <si>
    <t>J7170</t>
  </si>
  <si>
    <t>J7177</t>
  </si>
  <si>
    <t>J7203</t>
  </si>
  <si>
    <t>J7318</t>
  </si>
  <si>
    <t>J7329</t>
  </si>
  <si>
    <t>J9044</t>
  </si>
  <si>
    <t>J9057</t>
  </si>
  <si>
    <t>J9153</t>
  </si>
  <si>
    <t>J9173</t>
  </si>
  <si>
    <t>J9229</t>
  </si>
  <si>
    <t>J9311</t>
  </si>
  <si>
    <t>J9312</t>
  </si>
  <si>
    <t>Q2042</t>
  </si>
  <si>
    <t>Q4183</t>
  </si>
  <si>
    <t>Q4184</t>
  </si>
  <si>
    <t>Q4185</t>
  </si>
  <si>
    <t>Q4186</t>
  </si>
  <si>
    <t>Q4187</t>
  </si>
  <si>
    <t>Q4188</t>
  </si>
  <si>
    <t>Q4189</t>
  </si>
  <si>
    <t>Q4190</t>
  </si>
  <si>
    <t>Q4191</t>
  </si>
  <si>
    <t>Q4192</t>
  </si>
  <si>
    <t>Q4193</t>
  </si>
  <si>
    <t>Q4194</t>
  </si>
  <si>
    <t>Q4195</t>
  </si>
  <si>
    <t>Q4196</t>
  </si>
  <si>
    <t>Q4197</t>
  </si>
  <si>
    <t>Q4198</t>
  </si>
  <si>
    <t>Q4200</t>
  </si>
  <si>
    <t>Q4201</t>
  </si>
  <si>
    <t>Q4202</t>
  </si>
  <si>
    <t>Q4203</t>
  </si>
  <si>
    <t>Q4204</t>
  </si>
  <si>
    <t>Q5107</t>
  </si>
  <si>
    <t>Q5109</t>
  </si>
  <si>
    <t>Q5110</t>
  </si>
  <si>
    <t>Inj., aprepitant, 1 mg</t>
  </si>
  <si>
    <t>Inj., benralizumab, 1 mg</t>
  </si>
  <si>
    <t>Inj., cerliponase alfa 1 mg</t>
  </si>
  <si>
    <t>Injection, burosumab-twza 1m</t>
  </si>
  <si>
    <t>Inj., haegarda 10 units</t>
  </si>
  <si>
    <t>Inj crotalidae im f(ab')2 eq</t>
  </si>
  <si>
    <t>Injection, edaravone, 1 mg</t>
  </si>
  <si>
    <t>Inj fosnetupitant, palonoset</t>
  </si>
  <si>
    <t>Inj., guselkumab, 1 mg</t>
  </si>
  <si>
    <t>Inj., ibalizumab-uiyk, 10 mg</t>
  </si>
  <si>
    <t>Loxapine for inhalation 1 mg</t>
  </si>
  <si>
    <t>Inj., rolapitant, 0.5 mg</t>
  </si>
  <si>
    <t>Inj., tildrakizumab, 1 mg</t>
  </si>
  <si>
    <t>Inj triamcinolone ace xr 1mg</t>
  </si>
  <si>
    <t>Inj., triptorelin xr 3.75 mg</t>
  </si>
  <si>
    <t>Inj luxturna 1 billion vec g</t>
  </si>
  <si>
    <t>Esrd on dialysi drug/bio noc</t>
  </si>
  <si>
    <t>Inj., emicizumab-kxwh 0.5 mg</t>
  </si>
  <si>
    <t>Inj., fibryga, 1 mg</t>
  </si>
  <si>
    <t>Factor ix recomb gly rebinyn</t>
  </si>
  <si>
    <t>Inj, durolane 1 mg</t>
  </si>
  <si>
    <t>Inj, trivisc 1 mg</t>
  </si>
  <si>
    <t>Inj, bortezomib, nos, 0.1 mg</t>
  </si>
  <si>
    <t>Inj., copanlisib, 1 mg</t>
  </si>
  <si>
    <t>Inj daunorubicin, cytarabine</t>
  </si>
  <si>
    <t>Inj., durvalumab, 10 mg</t>
  </si>
  <si>
    <t>Inj inotuzumab ozogam 0.1 mg</t>
  </si>
  <si>
    <t>Inj rituximab, hyaluronidase</t>
  </si>
  <si>
    <t>Inj., rituximab, 10 mg</t>
  </si>
  <si>
    <t>Tisagenlecleucel car-pos t</t>
  </si>
  <si>
    <t>Surgigraft, 1 sq cm</t>
  </si>
  <si>
    <t>Cellesta, 1 sq cm</t>
  </si>
  <si>
    <t>Cellesta flowab amnion 0.5cc</t>
  </si>
  <si>
    <t>Epifix 1 sq cm</t>
  </si>
  <si>
    <t>Epicord 1 sq cm</t>
  </si>
  <si>
    <t>Amnioarmor 1 sq cm</t>
  </si>
  <si>
    <t>Artacent ac, 1 mg</t>
  </si>
  <si>
    <t>Artacent ac 1 sq cm</t>
  </si>
  <si>
    <t>Restorigin 1 sq cm</t>
  </si>
  <si>
    <t>Restorigin, 1 cc</t>
  </si>
  <si>
    <t>Coll-e-derm 1 sq cm</t>
  </si>
  <si>
    <t>Novachor 1 sq cm</t>
  </si>
  <si>
    <t>Puraply 1 sq cm</t>
  </si>
  <si>
    <t>Puraply am 1 sq cm</t>
  </si>
  <si>
    <t>Puraply xt 1 sq cm</t>
  </si>
  <si>
    <t>Genesis amnio membrane 1sqcm</t>
  </si>
  <si>
    <t>Skin te 1 sq cm</t>
  </si>
  <si>
    <t>Matrion 1 sq cm</t>
  </si>
  <si>
    <t>Keroxx (2.5g/cc), 1cc</t>
  </si>
  <si>
    <t>Derma-gide, 1 sq cm</t>
  </si>
  <si>
    <t>Xwrap 1 sq cm</t>
  </si>
  <si>
    <t>Inj mvasi 10 mg</t>
  </si>
  <si>
    <t>Injection, ixifi, 10 mg</t>
  </si>
  <si>
    <t>Nivestym</t>
  </si>
  <si>
    <t>92273</t>
  </si>
  <si>
    <t>92274</t>
  </si>
  <si>
    <t>93264</t>
  </si>
  <si>
    <t>95836</t>
  </si>
  <si>
    <t>95976</t>
  </si>
  <si>
    <t>95977</t>
  </si>
  <si>
    <t>95983</t>
  </si>
  <si>
    <t>95984</t>
  </si>
  <si>
    <t>96112</t>
  </si>
  <si>
    <t>96113</t>
  </si>
  <si>
    <t>96121</t>
  </si>
  <si>
    <t>96130</t>
  </si>
  <si>
    <t>96131</t>
  </si>
  <si>
    <t>96133</t>
  </si>
  <si>
    <t>96136</t>
  </si>
  <si>
    <t>96137</t>
  </si>
  <si>
    <t>96138</t>
  </si>
  <si>
    <t>96139</t>
  </si>
  <si>
    <t>96146</t>
  </si>
  <si>
    <t>Devel tst phys/qhp 1st hr</t>
  </si>
  <si>
    <t>Devel tst phys/qhp ea addl</t>
  </si>
  <si>
    <t>Nubhvl xm phy/qhp ea addl hr</t>
  </si>
  <si>
    <t>Psycl tst eval phys/qhp 1st</t>
  </si>
  <si>
    <t>Psycl tst eval phys/qhp ea</t>
  </si>
  <si>
    <t>Nrpsyc tst eval phys/qhp ea</t>
  </si>
  <si>
    <t>Psycl/nrpsyc tst phy/qhp 1st</t>
  </si>
  <si>
    <t>Psycl/nrpsyc tst phy/qhp ea</t>
  </si>
  <si>
    <t>Psycl/nrpsyc tech 1st</t>
  </si>
  <si>
    <t>Psycl/nrpsyc tst tech ea</t>
  </si>
  <si>
    <t>Psycl/nrpsyc tst auto result</t>
  </si>
  <si>
    <t>Full field erg w/i&amp;r</t>
  </si>
  <si>
    <t>Multifocal erg w/i&amp;r</t>
  </si>
  <si>
    <t>Rem mntr wrls p-art prs snr</t>
  </si>
  <si>
    <t>Ecog impltd brn npgt &lt;30 d</t>
  </si>
  <si>
    <t>Alys smpl cn npgt prgrmg</t>
  </si>
  <si>
    <t>Alys cplx cn npgt prgrmg</t>
  </si>
  <si>
    <t>Alys brn npgt prgrmg 15 min</t>
  </si>
  <si>
    <t>Alys brn npgt prgrmg addl 15</t>
  </si>
  <si>
    <t>99451</t>
  </si>
  <si>
    <t>99452</t>
  </si>
  <si>
    <t>99453</t>
  </si>
  <si>
    <t>99454</t>
  </si>
  <si>
    <t>99457</t>
  </si>
  <si>
    <t>99491</t>
  </si>
  <si>
    <t>Ntrprof ph1/ntrnet/ehr 5/&gt;</t>
  </si>
  <si>
    <t>Ntrprof ph1/ntrnet/ehr rfrl</t>
  </si>
  <si>
    <t>Rem mntr physiol param setup</t>
  </si>
  <si>
    <t>Rem mntr physiol param dev</t>
  </si>
  <si>
    <t>Rem physiol mntr 20 min mo</t>
  </si>
  <si>
    <t>Chrnc care mgmt svc 30 min</t>
  </si>
  <si>
    <t>10022</t>
  </si>
  <si>
    <t>11100</t>
  </si>
  <si>
    <t>11101</t>
  </si>
  <si>
    <t>20005</t>
  </si>
  <si>
    <t>27370</t>
  </si>
  <si>
    <t>31595</t>
  </si>
  <si>
    <t>33282</t>
  </si>
  <si>
    <t>33284</t>
  </si>
  <si>
    <t>41500</t>
  </si>
  <si>
    <t>43760</t>
  </si>
  <si>
    <t>46762</t>
  </si>
  <si>
    <t>50395</t>
  </si>
  <si>
    <t>61332</t>
  </si>
  <si>
    <t>61480</t>
  </si>
  <si>
    <t>61610</t>
  </si>
  <si>
    <t>61612</t>
  </si>
  <si>
    <t>63615</t>
  </si>
  <si>
    <t>64508</t>
  </si>
  <si>
    <t>64550</t>
  </si>
  <si>
    <t>66220</t>
  </si>
  <si>
    <t>76001</t>
  </si>
  <si>
    <t>77058</t>
  </si>
  <si>
    <t>77059</t>
  </si>
  <si>
    <t>78270</t>
  </si>
  <si>
    <t>78271</t>
  </si>
  <si>
    <t>78272</t>
  </si>
  <si>
    <t>Fna w/image</t>
  </si>
  <si>
    <t>Biopsy skin lesion</t>
  </si>
  <si>
    <t>Biopsy skin add-on</t>
  </si>
  <si>
    <t>I&amp;d abscess subfascial</t>
  </si>
  <si>
    <t>Injection for knee x-ray</t>
  </si>
  <si>
    <t>Larynx nerve surgery</t>
  </si>
  <si>
    <t>Implant pat-active ht record</t>
  </si>
  <si>
    <t>Remove pat-active ht record</t>
  </si>
  <si>
    <t>Fixation of tongue</t>
  </si>
  <si>
    <t>Change gastrostomy tube</t>
  </si>
  <si>
    <t>Implant artificial sphincter</t>
  </si>
  <si>
    <t>Create passage to kidney</t>
  </si>
  <si>
    <t>Explore/biopsy eye socket</t>
  </si>
  <si>
    <t>Incise skull for surgery</t>
  </si>
  <si>
    <t>Transect artery sinus</t>
  </si>
  <si>
    <t>Remove lesion of spinal cord</t>
  </si>
  <si>
    <t>N block carotid sinus s/p</t>
  </si>
  <si>
    <t>Appl surface neurostimulator</t>
  </si>
  <si>
    <t>Repair eye lesion</t>
  </si>
  <si>
    <t>Fluoroscope exam extensive</t>
  </si>
  <si>
    <t>Mri one breast</t>
  </si>
  <si>
    <t>Mri both breasts</t>
  </si>
  <si>
    <t>Vit b-12 absorption exam</t>
  </si>
  <si>
    <t>Vit b-12 absrp exam int fac</t>
  </si>
  <si>
    <t>Vit b-12 absorp combined</t>
  </si>
  <si>
    <t>92275</t>
  </si>
  <si>
    <t>95974</t>
  </si>
  <si>
    <t>95975</t>
  </si>
  <si>
    <t>95978</t>
  </si>
  <si>
    <t>95979</t>
  </si>
  <si>
    <t>96101</t>
  </si>
  <si>
    <t>96102</t>
  </si>
  <si>
    <t>96103</t>
  </si>
  <si>
    <t>96111</t>
  </si>
  <si>
    <t>96118</t>
  </si>
  <si>
    <t>96119</t>
  </si>
  <si>
    <t>96120</t>
  </si>
  <si>
    <t>99090</t>
  </si>
  <si>
    <t>Electroretinography</t>
  </si>
  <si>
    <t>Cranial neurostim complex</t>
  </si>
  <si>
    <t>Analyze neurostim brain/1h</t>
  </si>
  <si>
    <t>Analyz neurostim brain addon</t>
  </si>
  <si>
    <t>Psycho testing by psych/phys</t>
  </si>
  <si>
    <t>Psycho testing by technician</t>
  </si>
  <si>
    <t>Psycho testing admin by comp</t>
  </si>
  <si>
    <t>Developmental test extend</t>
  </si>
  <si>
    <t>Neuropsych tst by psych/phys</t>
  </si>
  <si>
    <t>Neuropsych testing by tec</t>
  </si>
  <si>
    <t>Neuropsych tst admin w/comp</t>
  </si>
  <si>
    <t>Computer data analysis</t>
  </si>
  <si>
    <t>A4563</t>
  </si>
  <si>
    <t>A5514</t>
  </si>
  <si>
    <t>A6460</t>
  </si>
  <si>
    <t>A6461</t>
  </si>
  <si>
    <t>Vag inser rectal control sys</t>
  </si>
  <si>
    <t>Mult den insert dir carv/cam</t>
  </si>
  <si>
    <t>Synthetic drsg &lt;= 16 sq in</t>
  </si>
  <si>
    <t>Synthetic drsg &gt;16&lt;=48 sq in</t>
  </si>
  <si>
    <t>Lutetium lu 177 dotatat ther</t>
  </si>
  <si>
    <t>Insti hexaminolevulinate hcl</t>
  </si>
  <si>
    <t>A9513</t>
  </si>
  <si>
    <t>A9589</t>
  </si>
  <si>
    <t>L8608</t>
  </si>
  <si>
    <t>L8698</t>
  </si>
  <si>
    <t>L8701</t>
  </si>
  <si>
    <t>L8702</t>
  </si>
  <si>
    <t>Arg ii ext com/sup/acc misc</t>
  </si>
  <si>
    <t>Misc used with tot art heart</t>
  </si>
  <si>
    <t>Pow ue rom dev ewh uprt cust</t>
  </si>
  <si>
    <t>Pow ue rom dev ewhf uprt cus</t>
  </si>
  <si>
    <t>T4545</t>
  </si>
  <si>
    <t>Incon disposable penile wrap</t>
  </si>
  <si>
    <t>V5171</t>
  </si>
  <si>
    <t>V5172</t>
  </si>
  <si>
    <t>V5181</t>
  </si>
  <si>
    <t>V5211</t>
  </si>
  <si>
    <t>V5212</t>
  </si>
  <si>
    <t>V5213</t>
  </si>
  <si>
    <t>V5214</t>
  </si>
  <si>
    <t>V5215</t>
  </si>
  <si>
    <t>V5221</t>
  </si>
  <si>
    <t>Hearing aid monaural ite</t>
  </si>
  <si>
    <t>Hearing aid monaural itc</t>
  </si>
  <si>
    <t>Hearing aid monaural bte</t>
  </si>
  <si>
    <t>Hearing aid binaural ite/ite</t>
  </si>
  <si>
    <t>Hearing aid binaural ite/itc</t>
  </si>
  <si>
    <t>Hearing aid binaural ite/bte</t>
  </si>
  <si>
    <t>Hearing aid binaural itc/itc</t>
  </si>
  <si>
    <t>Hearing aid binaural itc/bte</t>
  </si>
  <si>
    <t>Hearing aid binaural bte/bte</t>
  </si>
  <si>
    <t>G2011</t>
  </si>
  <si>
    <t>Alcohol/sub abuse assess</t>
  </si>
  <si>
    <t>0159T</t>
  </si>
  <si>
    <t>Cad breast mri</t>
  </si>
  <si>
    <t>0188T</t>
  </si>
  <si>
    <t>Videoconf crit care 74 min</t>
  </si>
  <si>
    <t>0189T</t>
  </si>
  <si>
    <t>0190T</t>
  </si>
  <si>
    <t>Videoconf crit care addl 30</t>
  </si>
  <si>
    <t>Place intraoc radiation src</t>
  </si>
  <si>
    <t>0195T</t>
  </si>
  <si>
    <t>0196T</t>
  </si>
  <si>
    <t>Arthrod presac interbody</t>
  </si>
  <si>
    <t>Arthrod presac interbody eac</t>
  </si>
  <si>
    <t>0359T</t>
  </si>
  <si>
    <t>Behavior identification assessment</t>
  </si>
  <si>
    <t>0364T</t>
  </si>
  <si>
    <t>Adaptive behavior tx first 30 minutes</t>
  </si>
  <si>
    <t>0365T</t>
  </si>
  <si>
    <t>Adaptive behavior tx ea addl 30 minutes</t>
  </si>
  <si>
    <t>0368T</t>
  </si>
  <si>
    <t>Adaptive behavior tx first 30 minutes COBA</t>
  </si>
  <si>
    <t>0369T</t>
  </si>
  <si>
    <t>Adaptive behavior tx ea addl 30 minutes COBA</t>
  </si>
  <si>
    <t>B4105</t>
  </si>
  <si>
    <t>Enzyme cartridge enteral nut</t>
  </si>
  <si>
    <t>K0903</t>
  </si>
  <si>
    <t>V5170</t>
  </si>
  <si>
    <t>Within ear cros hearing aid</t>
  </si>
  <si>
    <t>V5180</t>
  </si>
  <si>
    <t>V5210</t>
  </si>
  <si>
    <t>V5220</t>
  </si>
  <si>
    <t>Behind ear cros hearing aid</t>
  </si>
  <si>
    <t>In ear bicros hearing aid</t>
  </si>
  <si>
    <t>Behind ear bicros hearing ai</t>
  </si>
  <si>
    <t>0b</t>
  </si>
  <si>
    <t>0d</t>
  </si>
  <si>
    <t>96132</t>
  </si>
  <si>
    <t>Nrpsyc tst eval phys/qhp 1st</t>
  </si>
  <si>
    <t>A9274</t>
  </si>
  <si>
    <t>Ext amb insulin delivery sys each</t>
  </si>
  <si>
    <t>CPT/HCPCS Procedure Code Changes for January 1, 2019</t>
  </si>
  <si>
    <t>Inj., vestronidase alfa-vjbk 1 mg</t>
  </si>
  <si>
    <t>Q5111</t>
  </si>
  <si>
    <t>Valid only in an inpatient hospital or outpatient hospital</t>
  </si>
  <si>
    <t>Behavioral Health PT 84/95</t>
  </si>
  <si>
    <t>J0833</t>
  </si>
  <si>
    <t>Cosyntropin injection nos</t>
  </si>
  <si>
    <t>J9310</t>
  </si>
  <si>
    <t>Rituximab injection</t>
  </si>
  <si>
    <t>Q2040</t>
  </si>
  <si>
    <t>Q4131</t>
  </si>
  <si>
    <t>Q4172</t>
  </si>
  <si>
    <t>Q5102</t>
  </si>
  <si>
    <t>Q9993</t>
  </si>
  <si>
    <t>Q9994</t>
  </si>
  <si>
    <t>Q9995</t>
  </si>
  <si>
    <t>Epifix or epicord</t>
  </si>
  <si>
    <t>Puraply or puraply am</t>
  </si>
  <si>
    <t>Inj., infliximab biosimilar</t>
  </si>
  <si>
    <t>Inj., triamcinolone ext rel</t>
  </si>
  <si>
    <t>Inj, Udenyca 0.5 MG</t>
  </si>
  <si>
    <t>Final  rev 12/20/2018</t>
  </si>
  <si>
    <t>Final   rev 12/20/2018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</si>
</sst>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43">
    <font>
      <sz val="10"/>
      <name val="Arial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406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10" fontId="21" fillId="0" borderId="9">
      <alignment horizontal="center"/>
    </xf>
    <xf numFmtId="4" fontId="22" fillId="22" borderId="10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23" fillId="24" borderId="10" applyNumberFormat="0" applyProtection="0">
      <alignment vertical="center"/>
    </xf>
    <xf numFmtId="4" fontId="22" fillId="24" borderId="10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0" fontId="22" fillId="24" borderId="10" applyNumberFormat="0" applyProtection="0">
      <alignment horizontal="left" vertical="top" indent="1"/>
    </xf>
    <xf numFmtId="4" fontId="22" fillId="25" borderId="0" applyNumberFormat="0" applyProtection="0">
      <alignment horizontal="left" vertical="center" indent="1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22" fillId="27" borderId="11" applyNumberFormat="0" applyProtection="0">
      <alignment horizontal="left" vertical="center" indent="1"/>
    </xf>
    <xf numFmtId="4" fontId="22" fillId="27" borderId="11" applyNumberFormat="0" applyProtection="0">
      <alignment horizontal="left" vertical="center" indent="1"/>
    </xf>
    <xf numFmtId="4" fontId="22" fillId="27" borderId="11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24" fillId="29" borderId="0" applyNumberFormat="0" applyProtection="0">
      <alignment horizontal="left" vertical="center" indent="1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0" fontId="7" fillId="29" borderId="10" applyNumberFormat="0" applyProtection="0">
      <alignment horizontal="left" vertical="center" indent="1"/>
    </xf>
    <xf numFmtId="0" fontId="7" fillId="29" borderId="10" applyNumberFormat="0" applyProtection="0">
      <alignment horizontal="left" vertical="top" indent="1"/>
    </xf>
    <xf numFmtId="0" fontId="7" fillId="25" borderId="10" applyNumberFormat="0" applyProtection="0">
      <alignment horizontal="left" vertical="center" indent="1"/>
    </xf>
    <xf numFmtId="0" fontId="7" fillId="25" borderId="10" applyNumberFormat="0" applyProtection="0">
      <alignment horizontal="left" vertical="top" indent="1"/>
    </xf>
    <xf numFmtId="0" fontId="7" fillId="31" borderId="10" applyNumberFormat="0" applyProtection="0">
      <alignment horizontal="left" vertical="center" indent="1"/>
    </xf>
    <xf numFmtId="0" fontId="7" fillId="31" borderId="10" applyNumberFormat="0" applyProtection="0">
      <alignment horizontal="left" vertical="top" indent="1"/>
    </xf>
    <xf numFmtId="0" fontId="7" fillId="32" borderId="10" applyNumberFormat="0" applyProtection="0">
      <alignment horizontal="left" vertical="center" indent="1"/>
    </xf>
    <xf numFmtId="0" fontId="7" fillId="32" borderId="10" applyNumberFormat="0" applyProtection="0">
      <alignment horizontal="left" vertical="top" indent="1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25" fillId="33" borderId="10" applyNumberFormat="0" applyProtection="0">
      <alignment vertical="center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25" fillId="28" borderId="10" applyNumberFormat="0" applyProtection="0">
      <alignment horizontal="right" vertical="center"/>
    </xf>
    <xf numFmtId="0" fontId="7" fillId="35" borderId="8" applyNumberFormat="0" applyProtection="0">
      <alignment horizontal="left" vertical="center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4" fontId="26" fillId="36" borderId="0" applyNumberFormat="0" applyProtection="0">
      <alignment horizontal="left" vertical="center" indent="1"/>
    </xf>
    <xf numFmtId="4" fontId="27" fillId="28" borderId="10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4" fontId="27" fillId="34" borderId="8" applyNumberFormat="0" applyProtection="0">
      <alignment horizontal="right" vertical="center"/>
    </xf>
    <xf numFmtId="4" fontId="27" fillId="34" borderId="8" applyNumberFormat="0" applyProtection="0">
      <alignment horizontal="right" vertical="center"/>
    </xf>
    <xf numFmtId="165" fontId="28" fillId="0" borderId="0">
      <alignment horizontal="left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" fillId="0" borderId="0"/>
    <xf numFmtId="44" fontId="38" fillId="0" borderId="0" applyFont="0" applyFill="0" applyBorder="0" applyAlignment="0" applyProtection="0"/>
  </cellStyleXfs>
  <cellXfs count="166">
    <xf numFmtId="0" fontId="0" fillId="0" borderId="0" xfId="0"/>
    <xf numFmtId="166" fontId="32" fillId="0" borderId="0" xfId="0" applyNumberFormat="1" applyFont="1" applyFill="1" applyBorder="1" applyAlignment="1">
      <alignment horizontal="left" vertical="center"/>
    </xf>
    <xf numFmtId="166" fontId="1" fillId="0" borderId="0" xfId="0" applyNumberFormat="1" applyFont="1" applyFill="1" applyBorder="1" applyAlignment="1">
      <alignment horizontal="left" vertical="top"/>
    </xf>
    <xf numFmtId="0" fontId="34" fillId="0" borderId="0" xfId="0" applyFont="1" applyFill="1" applyAlignment="1">
      <alignment vertical="center"/>
    </xf>
    <xf numFmtId="0" fontId="7" fillId="0" borderId="13" xfId="0" applyFont="1" applyFill="1" applyBorder="1" applyAlignment="1">
      <alignment horizontal="center"/>
    </xf>
    <xf numFmtId="2" fontId="7" fillId="0" borderId="0" xfId="0" applyNumberFormat="1" applyFont="1" applyFill="1" applyAlignment="1">
      <alignment horizontal="right" vertical="center"/>
    </xf>
    <xf numFmtId="167" fontId="37" fillId="0" borderId="13" xfId="0" applyNumberFormat="1" applyFont="1" applyFill="1" applyBorder="1" applyAlignment="1">
      <alignment horizontal="center" vertical="top"/>
    </xf>
    <xf numFmtId="0" fontId="37" fillId="0" borderId="13" xfId="0" applyFont="1" applyBorder="1" applyAlignment="1">
      <alignment horizontal="center"/>
    </xf>
    <xf numFmtId="4" fontId="37" fillId="0" borderId="13" xfId="0" applyNumberFormat="1" applyFont="1" applyBorder="1" applyAlignment="1">
      <alignment horizontal="right" vertical="center"/>
    </xf>
    <xf numFmtId="4" fontId="37" fillId="0" borderId="13" xfId="0" applyNumberFormat="1" applyFont="1" applyBorder="1" applyAlignment="1">
      <alignment horizontal="right"/>
    </xf>
    <xf numFmtId="0" fontId="35" fillId="0" borderId="0" xfId="0" applyFont="1" applyFill="1" applyAlignment="1">
      <alignment horizontal="left"/>
    </xf>
    <xf numFmtId="0" fontId="35" fillId="0" borderId="0" xfId="0" applyFont="1" applyFill="1" applyAlignment="1">
      <alignment vertical="top" wrapText="1"/>
    </xf>
    <xf numFmtId="14" fontId="7" fillId="0" borderId="0" xfId="0" applyNumberFormat="1" applyFont="1" applyFill="1" applyAlignment="1">
      <alignment vertical="top"/>
    </xf>
    <xf numFmtId="0" fontId="7" fillId="0" borderId="0" xfId="0" applyFont="1" applyFill="1" applyAlignment="1">
      <alignment horizontal="center" vertical="top"/>
    </xf>
    <xf numFmtId="2" fontId="7" fillId="0" borderId="0" xfId="0" applyNumberFormat="1" applyFont="1" applyFill="1" applyAlignment="1">
      <alignment horizontal="right" vertical="top"/>
    </xf>
    <xf numFmtId="14" fontId="35" fillId="0" borderId="13" xfId="0" applyNumberFormat="1" applyFont="1" applyFill="1" applyBorder="1" applyAlignment="1">
      <alignment horizontal="center" vertical="center" wrapText="1"/>
    </xf>
    <xf numFmtId="2" fontId="35" fillId="0" borderId="13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top"/>
    </xf>
    <xf numFmtId="49" fontId="35" fillId="0" borderId="17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4" fontId="7" fillId="0" borderId="0" xfId="0" applyNumberFormat="1" applyFont="1" applyFill="1" applyAlignment="1">
      <alignment vertical="center"/>
    </xf>
    <xf numFmtId="1" fontId="7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vertical="top" wrapText="1"/>
    </xf>
    <xf numFmtId="0" fontId="7" fillId="0" borderId="16" xfId="0" applyFont="1" applyFill="1" applyBorder="1" applyAlignment="1">
      <alignment horizontal="center" vertical="top"/>
    </xf>
    <xf numFmtId="0" fontId="7" fillId="0" borderId="16" xfId="0" applyFont="1" applyFill="1" applyBorder="1" applyAlignment="1">
      <alignment vertical="top"/>
    </xf>
    <xf numFmtId="0" fontId="7" fillId="0" borderId="15" xfId="0" applyFont="1" applyFill="1" applyBorder="1" applyAlignment="1">
      <alignment vertical="top"/>
    </xf>
    <xf numFmtId="0" fontId="7" fillId="0" borderId="15" xfId="0" applyFont="1" applyFill="1" applyBorder="1" applyAlignment="1">
      <alignment vertical="center" wrapText="1"/>
    </xf>
    <xf numFmtId="0" fontId="7" fillId="0" borderId="18" xfId="0" applyFont="1" applyFill="1" applyBorder="1" applyAlignment="1">
      <alignment vertical="center" wrapText="1"/>
    </xf>
    <xf numFmtId="2" fontId="7" fillId="0" borderId="0" xfId="0" applyNumberFormat="1" applyFont="1" applyFill="1" applyAlignment="1">
      <alignment vertical="center" wrapText="1"/>
    </xf>
    <xf numFmtId="0" fontId="7" fillId="0" borderId="0" xfId="0" applyFont="1" applyFill="1" applyBorder="1" applyAlignment="1">
      <alignment horizontal="center"/>
    </xf>
    <xf numFmtId="2" fontId="7" fillId="0" borderId="15" xfId="0" applyNumberFormat="1" applyFont="1" applyFill="1" applyBorder="1" applyAlignment="1">
      <alignment horizontal="right" vertical="center"/>
    </xf>
    <xf numFmtId="1" fontId="7" fillId="0" borderId="15" xfId="0" applyNumberFormat="1" applyFont="1" applyFill="1" applyBorder="1" applyAlignment="1">
      <alignment horizontal="right" vertical="center"/>
    </xf>
    <xf numFmtId="2" fontId="7" fillId="0" borderId="18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top"/>
    </xf>
    <xf numFmtId="1" fontId="7" fillId="0" borderId="0" xfId="0" applyNumberFormat="1" applyFont="1" applyFill="1" applyAlignment="1">
      <alignment vertical="center"/>
    </xf>
    <xf numFmtId="2" fontId="7" fillId="0" borderId="0" xfId="0" applyNumberFormat="1" applyFont="1" applyFill="1" applyAlignment="1">
      <alignment vertical="center"/>
    </xf>
    <xf numFmtId="168" fontId="7" fillId="0" borderId="0" xfId="0" applyNumberFormat="1" applyFont="1" applyFill="1" applyBorder="1" applyAlignment="1">
      <alignment horizontal="right" vertical="top"/>
    </xf>
    <xf numFmtId="1" fontId="7" fillId="0" borderId="0" xfId="0" applyNumberFormat="1" applyFont="1" applyFill="1" applyBorder="1" applyAlignment="1">
      <alignment horizontal="right" vertical="top"/>
    </xf>
    <xf numFmtId="2" fontId="7" fillId="0" borderId="0" xfId="0" applyNumberFormat="1" applyFont="1" applyFill="1" applyBorder="1" applyAlignment="1">
      <alignment horizontal="right" vertical="top"/>
    </xf>
    <xf numFmtId="0" fontId="35" fillId="0" borderId="14" xfId="0" applyFont="1" applyFill="1" applyBorder="1" applyAlignment="1">
      <alignment horizontal="left"/>
    </xf>
    <xf numFmtId="14" fontId="7" fillId="0" borderId="0" xfId="0" applyNumberFormat="1" applyFont="1" applyFill="1" applyBorder="1" applyAlignment="1">
      <alignment horizontal="left" vertical="top"/>
    </xf>
    <xf numFmtId="14" fontId="7" fillId="0" borderId="0" xfId="0" applyNumberFormat="1" applyFont="1" applyFill="1" applyBorder="1" applyAlignment="1">
      <alignment horizontal="right" vertical="center"/>
    </xf>
    <xf numFmtId="14" fontId="7" fillId="0" borderId="0" xfId="0" applyNumberFormat="1" applyFont="1" applyFill="1" applyBorder="1" applyAlignment="1">
      <alignment horizontal="left" vertical="top" wrapText="1"/>
    </xf>
    <xf numFmtId="0" fontId="35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13" xfId="0" applyFont="1" applyFill="1" applyBorder="1" applyAlignment="1">
      <alignment horizontal="center" vertical="center" wrapText="1"/>
    </xf>
    <xf numFmtId="0" fontId="35" fillId="0" borderId="13" xfId="0" applyNumberFormat="1" applyFont="1" applyFill="1" applyBorder="1" applyAlignment="1">
      <alignment horizontal="center" vertical="center" wrapText="1"/>
    </xf>
    <xf numFmtId="3" fontId="35" fillId="0" borderId="13" xfId="1411" applyNumberFormat="1" applyFont="1" applyFill="1" applyBorder="1" applyAlignment="1">
      <alignment horizontal="center" vertical="center" wrapText="1"/>
    </xf>
    <xf numFmtId="1" fontId="35" fillId="0" borderId="13" xfId="0" applyNumberFormat="1" applyFont="1" applyFill="1" applyBorder="1" applyAlignment="1">
      <alignment horizontal="center" vertical="center" wrapText="1"/>
    </xf>
    <xf numFmtId="14" fontId="7" fillId="0" borderId="13" xfId="0" applyNumberFormat="1" applyFont="1" applyFill="1" applyBorder="1" applyAlignment="1">
      <alignment horizontal="center" vertical="top" wrapText="1"/>
    </xf>
    <xf numFmtId="4" fontId="37" fillId="0" borderId="13" xfId="0" applyNumberFormat="1" applyFont="1" applyFill="1" applyBorder="1" applyAlignment="1">
      <alignment horizontal="right" vertical="center"/>
    </xf>
    <xf numFmtId="0" fontId="37" fillId="0" borderId="13" xfId="0" applyFont="1" applyFill="1" applyBorder="1" applyAlignment="1">
      <alignment horizontal="center" vertical="center" wrapText="1"/>
    </xf>
    <xf numFmtId="169" fontId="37" fillId="0" borderId="13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34" fillId="0" borderId="0" xfId="0" applyFont="1" applyFill="1" applyAlignment="1">
      <alignment horizontal="left" vertical="center"/>
    </xf>
    <xf numFmtId="49" fontId="35" fillId="0" borderId="13" xfId="0" applyNumberFormat="1" applyFont="1" applyFill="1" applyBorder="1" applyAlignment="1">
      <alignment horizontal="center" vertical="center" wrapText="1"/>
    </xf>
    <xf numFmtId="0" fontId="7" fillId="0" borderId="13" xfId="0" applyFont="1" applyBorder="1"/>
    <xf numFmtId="0" fontId="7" fillId="0" borderId="13" xfId="0" applyFont="1" applyFill="1" applyBorder="1"/>
    <xf numFmtId="0" fontId="7" fillId="0" borderId="13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35" fillId="0" borderId="0" xfId="0" applyFont="1" applyFill="1" applyAlignment="1">
      <alignment horizontal="center" vertical="center"/>
    </xf>
    <xf numFmtId="0" fontId="35" fillId="0" borderId="0" xfId="0" applyFont="1" applyFill="1" applyAlignment="1">
      <alignment vertical="center"/>
    </xf>
    <xf numFmtId="167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Alignment="1">
      <alignment vertical="center" wrapText="1"/>
    </xf>
    <xf numFmtId="2" fontId="7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Border="1" applyAlignment="1">
      <alignment horizontal="center" vertical="center"/>
    </xf>
    <xf numFmtId="2" fontId="35" fillId="0" borderId="0" xfId="0" applyNumberFormat="1" applyFont="1" applyFill="1" applyBorder="1" applyAlignment="1">
      <alignment horizontal="right" vertical="center"/>
    </xf>
    <xf numFmtId="1" fontId="35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horizontal="center"/>
    </xf>
    <xf numFmtId="169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/>
    <xf numFmtId="0" fontId="7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right"/>
    </xf>
    <xf numFmtId="2" fontId="7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/>
    <xf numFmtId="4" fontId="37" fillId="0" borderId="13" xfId="0" applyNumberFormat="1" applyFont="1" applyFill="1" applyBorder="1" applyAlignment="1">
      <alignment horizontal="right" vertical="center" wrapText="1"/>
    </xf>
    <xf numFmtId="4" fontId="7" fillId="0" borderId="13" xfId="0" applyNumberFormat="1" applyFont="1" applyBorder="1" applyAlignment="1">
      <alignment horizontal="right"/>
    </xf>
    <xf numFmtId="4" fontId="39" fillId="0" borderId="13" xfId="1055" applyNumberFormat="1" applyFont="1" applyBorder="1" applyAlignment="1">
      <alignment horizontal="right" vertical="center"/>
    </xf>
    <xf numFmtId="4" fontId="7" fillId="0" borderId="13" xfId="0" applyNumberFormat="1" applyFont="1" applyFill="1" applyBorder="1" applyAlignment="1">
      <alignment horizontal="right"/>
    </xf>
    <xf numFmtId="167" fontId="40" fillId="0" borderId="13" xfId="0" applyNumberFormat="1" applyFont="1" applyFill="1" applyBorder="1" applyAlignment="1">
      <alignment horizontal="center" vertical="top"/>
    </xf>
    <xf numFmtId="0" fontId="40" fillId="0" borderId="13" xfId="0" applyFont="1" applyBorder="1" applyAlignment="1">
      <alignment horizontal="center"/>
    </xf>
    <xf numFmtId="4" fontId="40" fillId="0" borderId="13" xfId="0" applyNumberFormat="1" applyFont="1" applyBorder="1" applyAlignment="1">
      <alignment horizontal="right" vertical="center"/>
    </xf>
    <xf numFmtId="4" fontId="40" fillId="0" borderId="13" xfId="0" applyNumberFormat="1" applyFont="1" applyFill="1" applyBorder="1" applyAlignment="1">
      <alignment horizontal="right" vertical="top"/>
    </xf>
    <xf numFmtId="49" fontId="40" fillId="0" borderId="13" xfId="0" applyNumberFormat="1" applyFont="1" applyFill="1" applyBorder="1" applyAlignment="1">
      <alignment horizontal="center" vertical="top"/>
    </xf>
    <xf numFmtId="0" fontId="40" fillId="0" borderId="13" xfId="0" applyFont="1" applyFill="1" applyBorder="1" applyAlignment="1">
      <alignment horizontal="center"/>
    </xf>
    <xf numFmtId="49" fontId="40" fillId="0" borderId="13" xfId="0" applyNumberFormat="1" applyFont="1" applyFill="1" applyBorder="1" applyAlignment="1">
      <alignment horizontal="center"/>
    </xf>
    <xf numFmtId="4" fontId="40" fillId="0" borderId="13" xfId="0" applyNumberFormat="1" applyFont="1" applyFill="1" applyBorder="1" applyAlignment="1">
      <alignment horizontal="right" vertical="center"/>
    </xf>
    <xf numFmtId="4" fontId="41" fillId="0" borderId="13" xfId="0" applyNumberFormat="1" applyFont="1" applyBorder="1" applyAlignment="1">
      <alignment horizontal="right" vertical="center"/>
    </xf>
    <xf numFmtId="4" fontId="41" fillId="0" borderId="13" xfId="3405" applyNumberFormat="1" applyFont="1" applyBorder="1" applyAlignment="1">
      <alignment horizontal="right" vertical="center"/>
    </xf>
    <xf numFmtId="4" fontId="40" fillId="0" borderId="13" xfId="0" applyNumberFormat="1" applyFont="1" applyBorder="1" applyAlignment="1">
      <alignment horizontal="right"/>
    </xf>
    <xf numFmtId="4" fontId="41" fillId="0" borderId="13" xfId="0" applyNumberFormat="1" applyFont="1" applyBorder="1" applyAlignment="1">
      <alignment horizontal="right" vertical="top"/>
    </xf>
    <xf numFmtId="4" fontId="40" fillId="0" borderId="13" xfId="0" applyNumberFormat="1" applyFont="1" applyFill="1" applyBorder="1" applyAlignment="1">
      <alignment horizontal="right"/>
    </xf>
    <xf numFmtId="168" fontId="40" fillId="0" borderId="13" xfId="0" applyNumberFormat="1" applyFont="1" applyFill="1" applyBorder="1" applyAlignment="1">
      <alignment horizontal="center" vertical="top"/>
    </xf>
    <xf numFmtId="2" fontId="40" fillId="0" borderId="13" xfId="0" applyNumberFormat="1" applyFont="1" applyFill="1" applyBorder="1" applyAlignment="1">
      <alignment horizontal="center" vertical="center"/>
    </xf>
    <xf numFmtId="4" fontId="40" fillId="0" borderId="13" xfId="0" applyNumberFormat="1" applyFont="1" applyFill="1" applyBorder="1" applyAlignment="1">
      <alignment horizontal="right" vertical="center" wrapText="1"/>
    </xf>
    <xf numFmtId="0" fontId="40" fillId="0" borderId="13" xfId="0" applyFont="1" applyFill="1" applyBorder="1" applyAlignment="1">
      <alignment horizontal="center" vertical="center" wrapText="1"/>
    </xf>
    <xf numFmtId="2" fontId="40" fillId="0" borderId="13" xfId="0" applyNumberFormat="1" applyFont="1" applyFill="1" applyBorder="1" applyAlignment="1">
      <alignment horizontal="right" vertical="center"/>
    </xf>
    <xf numFmtId="0" fontId="40" fillId="0" borderId="13" xfId="0" applyFont="1" applyFill="1" applyBorder="1" applyAlignment="1">
      <alignment horizontal="center" vertical="center"/>
    </xf>
    <xf numFmtId="0" fontId="34" fillId="0" borderId="0" xfId="0" applyNumberFormat="1" applyFont="1" applyFill="1" applyAlignment="1">
      <alignment horizontal="right" vertical="center"/>
    </xf>
    <xf numFmtId="0" fontId="34" fillId="0" borderId="0" xfId="0" applyNumberFormat="1" applyFont="1" applyFill="1" applyAlignment="1">
      <alignment horizontal="left" vertical="center"/>
    </xf>
    <xf numFmtId="0" fontId="33" fillId="0" borderId="0" xfId="0" applyFont="1"/>
    <xf numFmtId="0" fontId="33" fillId="0" borderId="0" xfId="0" applyNumberFormat="1" applyFont="1" applyFill="1" applyAlignment="1">
      <alignment horizontal="right" vertical="center"/>
    </xf>
    <xf numFmtId="0" fontId="35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37" fillId="0" borderId="13" xfId="0" applyNumberFormat="1" applyFont="1" applyBorder="1" applyAlignment="1">
      <alignment horizontal="left" vertical="top"/>
    </xf>
    <xf numFmtId="4" fontId="41" fillId="0" borderId="17" xfId="0" applyNumberFormat="1" applyFont="1" applyBorder="1" applyAlignment="1">
      <alignment horizontal="right" vertical="center"/>
    </xf>
    <xf numFmtId="4" fontId="40" fillId="0" borderId="17" xfId="0" applyNumberFormat="1" applyFont="1" applyFill="1" applyBorder="1" applyAlignment="1">
      <alignment horizontal="right" vertical="top"/>
    </xf>
    <xf numFmtId="49" fontId="40" fillId="0" borderId="17" xfId="0" applyNumberFormat="1" applyFont="1" applyFill="1" applyBorder="1" applyAlignment="1">
      <alignment horizontal="center" vertical="top"/>
    </xf>
    <xf numFmtId="4" fontId="40" fillId="0" borderId="19" xfId="0" applyNumberFormat="1" applyFont="1" applyBorder="1" applyAlignment="1">
      <alignment horizontal="right"/>
    </xf>
    <xf numFmtId="4" fontId="40" fillId="0" borderId="19" xfId="0" applyNumberFormat="1" applyFont="1" applyFill="1" applyBorder="1" applyAlignment="1">
      <alignment horizontal="right" vertical="top"/>
    </xf>
    <xf numFmtId="49" fontId="40" fillId="0" borderId="19" xfId="0" applyNumberFormat="1" applyFont="1" applyFill="1" applyBorder="1" applyAlignment="1">
      <alignment horizontal="center" vertical="top"/>
    </xf>
    <xf numFmtId="2" fontId="0" fillId="0" borderId="13" xfId="0" applyNumberFormat="1" applyBorder="1"/>
    <xf numFmtId="0" fontId="0" fillId="0" borderId="13" xfId="0" applyNumberFormat="1" applyBorder="1"/>
    <xf numFmtId="0" fontId="7" fillId="0" borderId="13" xfId="0" applyFont="1" applyFill="1" applyBorder="1" applyAlignment="1">
      <alignment horizontal="left" vertical="top"/>
    </xf>
    <xf numFmtId="0" fontId="0" fillId="0" borderId="13" xfId="0" applyFill="1" applyBorder="1"/>
    <xf numFmtId="49" fontId="40" fillId="0" borderId="19" xfId="0" applyNumberFormat="1" applyFont="1" applyFill="1" applyBorder="1" applyAlignment="1">
      <alignment horizontal="center"/>
    </xf>
    <xf numFmtId="0" fontId="37" fillId="0" borderId="0" xfId="0" applyNumberFormat="1" applyFont="1" applyBorder="1" applyAlignment="1">
      <alignment horizontal="center" vertical="top"/>
    </xf>
    <xf numFmtId="0" fontId="37" fillId="0" borderId="0" xfId="0" applyFont="1" applyBorder="1" applyAlignment="1">
      <alignment vertical="top"/>
    </xf>
    <xf numFmtId="167" fontId="37" fillId="0" borderId="0" xfId="0" applyNumberFormat="1" applyFont="1" applyFill="1" applyBorder="1" applyAlignment="1">
      <alignment horizontal="center" vertical="top"/>
    </xf>
    <xf numFmtId="0" fontId="37" fillId="0" borderId="0" xfId="0" applyFont="1" applyBorder="1" applyAlignment="1">
      <alignment horizontal="center"/>
    </xf>
    <xf numFmtId="4" fontId="37" fillId="0" borderId="0" xfId="0" applyNumberFormat="1" applyFont="1" applyFill="1" applyBorder="1" applyAlignment="1">
      <alignment horizontal="right" vertical="top"/>
    </xf>
    <xf numFmtId="4" fontId="7" fillId="0" borderId="0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center"/>
    </xf>
    <xf numFmtId="0" fontId="36" fillId="0" borderId="0" xfId="0" applyFont="1" applyBorder="1" applyAlignment="1">
      <alignment horizontal="left" vertical="top"/>
    </xf>
    <xf numFmtId="0" fontId="37" fillId="0" borderId="0" xfId="0" applyFont="1" applyFill="1" applyBorder="1" applyAlignment="1">
      <alignment horizontal="center"/>
    </xf>
    <xf numFmtId="4" fontId="37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center"/>
    </xf>
    <xf numFmtId="4" fontId="37" fillId="0" borderId="0" xfId="0" applyNumberFormat="1" applyFont="1" applyBorder="1" applyAlignment="1">
      <alignment horizontal="right"/>
    </xf>
    <xf numFmtId="4" fontId="41" fillId="0" borderId="13" xfId="0" applyNumberFormat="1" applyFont="1" applyFill="1" applyBorder="1" applyAlignment="1">
      <alignment horizontal="right" vertical="center"/>
    </xf>
    <xf numFmtId="49" fontId="7" fillId="0" borderId="13" xfId="0" applyNumberFormat="1" applyFont="1" applyFill="1" applyBorder="1" applyAlignment="1">
      <alignment horizontal="left" vertical="top" wrapText="1"/>
    </xf>
    <xf numFmtId="49" fontId="7" fillId="0" borderId="13" xfId="0" applyNumberFormat="1" applyFont="1" applyBorder="1" applyAlignment="1">
      <alignment horizontal="left" vertical="top"/>
    </xf>
    <xf numFmtId="49" fontId="7" fillId="0" borderId="13" xfId="0" applyNumberFormat="1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center"/>
    </xf>
    <xf numFmtId="4" fontId="37" fillId="0" borderId="13" xfId="0" applyNumberFormat="1" applyFont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center" vertical="center"/>
    </xf>
    <xf numFmtId="1" fontId="7" fillId="0" borderId="13" xfId="0" applyNumberFormat="1" applyFont="1" applyFill="1" applyBorder="1" applyAlignment="1">
      <alignment horizontal="right" vertical="center"/>
    </xf>
    <xf numFmtId="0" fontId="7" fillId="0" borderId="13" xfId="0" applyFont="1" applyBorder="1" applyAlignment="1">
      <alignment horizontal="left"/>
    </xf>
    <xf numFmtId="0" fontId="7" fillId="0" borderId="13" xfId="0" applyFont="1" applyBorder="1" applyAlignment="1">
      <alignment horizontal="right"/>
    </xf>
    <xf numFmtId="49" fontId="37" fillId="0" borderId="13" xfId="0" applyNumberFormat="1" applyFont="1" applyBorder="1"/>
    <xf numFmtId="0" fontId="37" fillId="0" borderId="0" xfId="768" applyFont="1"/>
    <xf numFmtId="0" fontId="42" fillId="0" borderId="0" xfId="0" applyFont="1"/>
    <xf numFmtId="49" fontId="0" fillId="0" borderId="13" xfId="0" applyNumberFormat="1" applyFill="1" applyBorder="1"/>
    <xf numFmtId="4" fontId="7" fillId="0" borderId="0" xfId="0" applyNumberFormat="1" applyFont="1"/>
    <xf numFmtId="3" fontId="7" fillId="0" borderId="0" xfId="0" applyNumberFormat="1" applyFont="1"/>
    <xf numFmtId="2" fontId="7" fillId="0" borderId="0" xfId="0" applyNumberFormat="1" applyFont="1"/>
    <xf numFmtId="49" fontId="0" fillId="0" borderId="13" xfId="0" applyNumberFormat="1" applyBorder="1" applyAlignment="1">
      <alignment horizontal="left" vertical="center"/>
    </xf>
    <xf numFmtId="167" fontId="40" fillId="0" borderId="13" xfId="0" applyNumberFormat="1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37" fillId="0" borderId="13" xfId="0" applyFont="1" applyBorder="1" applyAlignment="1">
      <alignment horizontal="center" vertical="center"/>
    </xf>
    <xf numFmtId="0" fontId="7" fillId="0" borderId="13" xfId="1055" applyNumberFormat="1" applyFont="1" applyFill="1" applyBorder="1" applyAlignment="1" applyProtection="1">
      <alignment horizontal="left" vertical="top" wrapText="1"/>
      <protection locked="0"/>
    </xf>
    <xf numFmtId="4" fontId="37" fillId="0" borderId="20" xfId="0" applyNumberFormat="1" applyFont="1" applyFill="1" applyBorder="1" applyAlignment="1">
      <alignment horizontal="right" vertical="center"/>
    </xf>
    <xf numFmtId="0" fontId="7" fillId="37" borderId="0" xfId="0" applyFont="1" applyFill="1" applyAlignment="1">
      <alignment horizontal="center"/>
    </xf>
    <xf numFmtId="170" fontId="37" fillId="0" borderId="13" xfId="0" applyNumberFormat="1" applyFont="1" applyBorder="1" applyAlignment="1">
      <alignment horizontal="left" vertical="top"/>
    </xf>
    <xf numFmtId="4" fontId="39" fillId="0" borderId="13" xfId="1055" applyNumberFormat="1" applyFont="1" applyBorder="1" applyAlignment="1">
      <alignment horizontal="left" vertical="center"/>
    </xf>
    <xf numFmtId="4" fontId="37" fillId="0" borderId="16" xfId="0" applyNumberFormat="1" applyFont="1" applyBorder="1" applyAlignment="1">
      <alignment horizontal="left" vertical="center"/>
    </xf>
    <xf numFmtId="4" fontId="41" fillId="0" borderId="13" xfId="0" applyNumberFormat="1" applyFont="1" applyFill="1" applyBorder="1" applyAlignment="1">
      <alignment horizontal="right" vertical="top"/>
    </xf>
    <xf numFmtId="14" fontId="7" fillId="0" borderId="16" xfId="0" applyNumberFormat="1" applyFont="1" applyFill="1" applyBorder="1" applyAlignment="1">
      <alignment horizontal="left" vertical="top" wrapText="1"/>
    </xf>
    <xf numFmtId="14" fontId="7" fillId="0" borderId="18" xfId="0" applyNumberFormat="1" applyFont="1" applyFill="1" applyBorder="1" applyAlignment="1">
      <alignment horizontal="left" vertical="top" wrapText="1"/>
    </xf>
    <xf numFmtId="14" fontId="7" fillId="0" borderId="15" xfId="0" applyNumberFormat="1" applyFont="1" applyFill="1" applyBorder="1" applyAlignment="1">
      <alignment horizontal="left" vertical="top" wrapText="1"/>
    </xf>
  </cellXfs>
  <cellStyles count="3406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05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2"/>
  <sheetViews>
    <sheetView tabSelected="1" zoomScaleNormal="100" zoomScaleSheetLayoutView="100" workbookViewId="0">
      <pane ySplit="9" topLeftCell="A10" activePane="bottomLeft" state="frozen"/>
      <selection activeCell="E183" sqref="E183"/>
      <selection pane="bottomLeft" activeCell="AA14" sqref="AA14"/>
    </sheetView>
  </sheetViews>
  <sheetFormatPr defaultColWidth="6" defaultRowHeight="12.75"/>
  <cols>
    <col min="1" max="1" width="12.7109375" style="20" customWidth="1"/>
    <col min="2" max="2" width="48.7109375" style="20" customWidth="1"/>
    <col min="3" max="3" width="12.7109375" style="21" customWidth="1"/>
    <col min="4" max="4" width="12.7109375" style="20" customWidth="1"/>
    <col min="5" max="7" width="12.7109375" style="5" customWidth="1"/>
    <col min="8" max="8" width="12.7109375" style="22" customWidth="1"/>
    <col min="9" max="11" width="12.7109375" style="5" customWidth="1"/>
    <col min="12" max="13" width="12.7109375" style="20" customWidth="1"/>
    <col min="14" max="44" width="2.7109375" style="19" customWidth="1"/>
    <col min="45" max="45" width="6" style="19" bestFit="1" customWidth="1"/>
    <col min="46" max="16384" width="6" style="19"/>
  </cols>
  <sheetData>
    <row r="1" spans="1:13" ht="20.25">
      <c r="A1" s="54" t="s">
        <v>611</v>
      </c>
      <c r="B1" s="61"/>
      <c r="D1" s="62"/>
      <c r="E1" s="100"/>
      <c r="J1" s="64"/>
    </row>
    <row r="2" spans="1:13">
      <c r="A2" s="60"/>
      <c r="B2" s="61"/>
      <c r="D2" s="62"/>
    </row>
    <row r="3" spans="1:13" ht="20.25">
      <c r="A3" s="54" t="s">
        <v>90</v>
      </c>
      <c r="B3" s="61"/>
      <c r="D3" s="62"/>
    </row>
    <row r="5" spans="1:13">
      <c r="A5" s="65"/>
      <c r="B5" s="65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3">
      <c r="A6" s="65"/>
      <c r="B6" s="65" t="s">
        <v>633</v>
      </c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3">
      <c r="A7" s="65"/>
      <c r="B7" s="65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3">
      <c r="A8" s="65"/>
      <c r="B8" s="65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3" s="20" customFormat="1" ht="76.5">
      <c r="A9" s="55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</row>
    <row r="10" spans="1:13" s="76" customFormat="1">
      <c r="A10" s="117" t="s">
        <v>205</v>
      </c>
      <c r="B10" s="56" t="s">
        <v>249</v>
      </c>
      <c r="C10" s="81">
        <v>43466</v>
      </c>
      <c r="D10" s="82">
        <v>1</v>
      </c>
      <c r="E10" s="83"/>
      <c r="F10" s="83">
        <v>41.59</v>
      </c>
      <c r="G10" s="83">
        <v>35.24</v>
      </c>
      <c r="H10" s="84"/>
      <c r="I10" s="84"/>
      <c r="J10" s="84"/>
      <c r="K10" s="85"/>
      <c r="L10" s="106">
        <v>0</v>
      </c>
      <c r="M10" s="115"/>
    </row>
    <row r="11" spans="1:13" s="76" customFormat="1">
      <c r="A11" s="117" t="s">
        <v>206</v>
      </c>
      <c r="B11" s="56" t="s">
        <v>250</v>
      </c>
      <c r="C11" s="81">
        <v>43466</v>
      </c>
      <c r="D11" s="82">
        <v>1</v>
      </c>
      <c r="E11" s="83"/>
      <c r="F11" s="88">
        <v>57.36</v>
      </c>
      <c r="G11" s="89">
        <v>21.95</v>
      </c>
      <c r="H11" s="84"/>
      <c r="I11" s="84"/>
      <c r="J11" s="84"/>
      <c r="K11" s="85"/>
      <c r="L11" s="106">
        <v>0</v>
      </c>
      <c r="M11" s="115"/>
    </row>
    <row r="12" spans="1:13" s="76" customFormat="1">
      <c r="A12" s="117" t="s">
        <v>207</v>
      </c>
      <c r="B12" s="56" t="s">
        <v>251</v>
      </c>
      <c r="C12" s="81">
        <v>43466</v>
      </c>
      <c r="D12" s="82">
        <v>1</v>
      </c>
      <c r="E12" s="83"/>
      <c r="F12" s="89">
        <f>F11*0.5</f>
        <v>28.68</v>
      </c>
      <c r="G12" s="89">
        <f>G11*0.7</f>
        <v>15.364999999999998</v>
      </c>
      <c r="H12" s="84"/>
      <c r="I12" s="84"/>
      <c r="J12" s="84"/>
      <c r="K12" s="85"/>
      <c r="L12" s="106">
        <v>0</v>
      </c>
      <c r="M12" s="115"/>
    </row>
    <row r="13" spans="1:13" s="76" customFormat="1">
      <c r="A13" s="117" t="s">
        <v>208</v>
      </c>
      <c r="B13" s="56" t="s">
        <v>252</v>
      </c>
      <c r="C13" s="81">
        <v>43466</v>
      </c>
      <c r="D13" s="82">
        <v>1</v>
      </c>
      <c r="E13" s="83"/>
      <c r="F13" s="89">
        <f>F11*2.21</f>
        <v>126.76559999999999</v>
      </c>
      <c r="G13" s="89">
        <f>G11*1.28</f>
        <v>28.096</v>
      </c>
      <c r="H13" s="84"/>
      <c r="I13" s="84"/>
      <c r="J13" s="84"/>
      <c r="K13" s="85"/>
      <c r="L13" s="106">
        <v>0</v>
      </c>
      <c r="M13" s="115"/>
    </row>
    <row r="14" spans="1:13" s="76" customFormat="1">
      <c r="A14" s="117" t="s">
        <v>209</v>
      </c>
      <c r="B14" s="56" t="s">
        <v>253</v>
      </c>
      <c r="C14" s="81">
        <v>43466</v>
      </c>
      <c r="D14" s="82">
        <v>1</v>
      </c>
      <c r="E14" s="83"/>
      <c r="F14" s="89">
        <f>F11*1.25</f>
        <v>71.7</v>
      </c>
      <c r="G14" s="89">
        <f>G11*0.84</f>
        <v>18.437999999999999</v>
      </c>
      <c r="H14" s="84"/>
      <c r="I14" s="84"/>
      <c r="J14" s="84"/>
      <c r="K14" s="85"/>
      <c r="L14" s="106">
        <v>0</v>
      </c>
      <c r="M14" s="115"/>
    </row>
    <row r="15" spans="1:13" s="76" customFormat="1">
      <c r="A15" s="117" t="s">
        <v>210</v>
      </c>
      <c r="B15" s="56" t="s">
        <v>254</v>
      </c>
      <c r="C15" s="81">
        <v>43466</v>
      </c>
      <c r="D15" s="82">
        <v>1</v>
      </c>
      <c r="E15" s="83"/>
      <c r="F15" s="89">
        <f>F11*3.6</f>
        <v>206.49600000000001</v>
      </c>
      <c r="G15" s="89">
        <f>G11*1.56</f>
        <v>34.241999999999997</v>
      </c>
      <c r="H15" s="84"/>
      <c r="I15" s="84"/>
      <c r="J15" s="84"/>
      <c r="K15" s="85"/>
      <c r="L15" s="106">
        <v>0</v>
      </c>
      <c r="M15" s="115"/>
    </row>
    <row r="16" spans="1:13" s="76" customFormat="1">
      <c r="A16" s="117" t="s">
        <v>211</v>
      </c>
      <c r="B16" s="56" t="s">
        <v>255</v>
      </c>
      <c r="C16" s="81">
        <v>43466</v>
      </c>
      <c r="D16" s="82">
        <v>1</v>
      </c>
      <c r="E16" s="83"/>
      <c r="F16" s="89">
        <f>F15*0.6</f>
        <v>123.8976</v>
      </c>
      <c r="G16" s="89">
        <f>G15*0.75</f>
        <v>25.6815</v>
      </c>
      <c r="H16" s="84"/>
      <c r="I16" s="84"/>
      <c r="J16" s="84"/>
      <c r="K16" s="85"/>
      <c r="L16" s="106">
        <v>0</v>
      </c>
      <c r="M16" s="115"/>
    </row>
    <row r="17" spans="1:13" s="76" customFormat="1">
      <c r="A17" s="117" t="s">
        <v>212</v>
      </c>
      <c r="B17" s="56" t="s">
        <v>256</v>
      </c>
      <c r="C17" s="81">
        <v>43466</v>
      </c>
      <c r="D17" s="82">
        <v>1</v>
      </c>
      <c r="E17" s="83" t="s">
        <v>15</v>
      </c>
      <c r="F17" s="132"/>
      <c r="G17" s="132"/>
      <c r="H17" s="84"/>
      <c r="I17" s="84"/>
      <c r="J17" s="84"/>
      <c r="K17" s="85"/>
      <c r="L17" s="106">
        <v>0</v>
      </c>
      <c r="M17" s="115"/>
    </row>
    <row r="18" spans="1:13" s="76" customFormat="1">
      <c r="A18" s="117" t="s">
        <v>213</v>
      </c>
      <c r="B18" s="56" t="s">
        <v>257</v>
      </c>
      <c r="C18" s="81">
        <v>43466</v>
      </c>
      <c r="D18" s="82">
        <v>1</v>
      </c>
      <c r="E18" s="83" t="s">
        <v>15</v>
      </c>
      <c r="F18" s="88"/>
      <c r="G18" s="132"/>
      <c r="H18" s="84"/>
      <c r="I18" s="84"/>
      <c r="J18" s="84"/>
      <c r="K18" s="85"/>
      <c r="L18" s="106">
        <v>0</v>
      </c>
      <c r="M18" s="115"/>
    </row>
    <row r="19" spans="1:13" s="76" customFormat="1">
      <c r="A19" s="117" t="s">
        <v>214</v>
      </c>
      <c r="B19" s="56" t="s">
        <v>258</v>
      </c>
      <c r="C19" s="81">
        <v>43466</v>
      </c>
      <c r="D19" s="82">
        <v>1</v>
      </c>
      <c r="E19" s="89"/>
      <c r="F19" s="83">
        <v>47.2</v>
      </c>
      <c r="G19" s="83">
        <v>24.3</v>
      </c>
      <c r="H19" s="84"/>
      <c r="I19" s="84"/>
      <c r="J19" s="84"/>
      <c r="K19" s="85"/>
      <c r="L19" s="106">
        <v>0</v>
      </c>
      <c r="M19" s="115"/>
    </row>
    <row r="20" spans="1:13" s="76" customFormat="1">
      <c r="A20" s="117" t="s">
        <v>215</v>
      </c>
      <c r="B20" s="56" t="s">
        <v>259</v>
      </c>
      <c r="C20" s="81">
        <v>43466</v>
      </c>
      <c r="D20" s="82">
        <v>1</v>
      </c>
      <c r="E20" s="90"/>
      <c r="F20" s="83">
        <f>F19*0.6</f>
        <v>28.32</v>
      </c>
      <c r="G20" s="83">
        <f>G19*0.6</f>
        <v>14.58</v>
      </c>
      <c r="H20" s="84"/>
      <c r="I20" s="84"/>
      <c r="J20" s="84"/>
      <c r="K20" s="85"/>
      <c r="L20" s="106">
        <v>0</v>
      </c>
      <c r="M20" s="115"/>
    </row>
    <row r="21" spans="1:13" s="76" customFormat="1">
      <c r="A21" s="117" t="s">
        <v>216</v>
      </c>
      <c r="B21" s="56" t="s">
        <v>260</v>
      </c>
      <c r="C21" s="81">
        <v>43466</v>
      </c>
      <c r="D21" s="82">
        <v>1</v>
      </c>
      <c r="E21" s="83"/>
      <c r="F21" s="89">
        <f>F19*1.25</f>
        <v>59</v>
      </c>
      <c r="G21" s="89">
        <f>G19*1.25</f>
        <v>30.375</v>
      </c>
      <c r="H21" s="84"/>
      <c r="I21" s="84"/>
      <c r="J21" s="84"/>
      <c r="K21" s="85"/>
      <c r="L21" s="106">
        <v>0</v>
      </c>
      <c r="M21" s="115"/>
    </row>
    <row r="22" spans="1:13" s="76" customFormat="1">
      <c r="A22" s="117" t="s">
        <v>217</v>
      </c>
      <c r="B22" s="56" t="s">
        <v>261</v>
      </c>
      <c r="C22" s="81">
        <v>43466</v>
      </c>
      <c r="D22" s="82">
        <v>1</v>
      </c>
      <c r="E22" s="83"/>
      <c r="F22" s="89">
        <f>F21*0.55</f>
        <v>32.450000000000003</v>
      </c>
      <c r="G22" s="89">
        <f>G20*0.55</f>
        <v>8.0190000000000001</v>
      </c>
      <c r="H22" s="84"/>
      <c r="I22" s="84"/>
      <c r="J22" s="84"/>
      <c r="K22" s="85"/>
      <c r="L22" s="106">
        <v>0</v>
      </c>
      <c r="M22" s="115"/>
    </row>
    <row r="23" spans="1:13" s="76" customFormat="1">
      <c r="A23" s="117" t="s">
        <v>218</v>
      </c>
      <c r="B23" s="56" t="s">
        <v>262</v>
      </c>
      <c r="C23" s="81">
        <v>43466</v>
      </c>
      <c r="D23" s="82">
        <v>1</v>
      </c>
      <c r="E23" s="83"/>
      <c r="F23" s="89">
        <f>F19*1.52</f>
        <v>71.744</v>
      </c>
      <c r="G23" s="89">
        <f>G19*1.52</f>
        <v>36.936</v>
      </c>
      <c r="H23" s="84"/>
      <c r="I23" s="84"/>
      <c r="J23" s="84"/>
      <c r="K23" s="85"/>
      <c r="L23" s="106">
        <v>0</v>
      </c>
      <c r="M23" s="115"/>
    </row>
    <row r="24" spans="1:13" s="76" customFormat="1">
      <c r="A24" s="117" t="s">
        <v>219</v>
      </c>
      <c r="B24" s="56" t="s">
        <v>263</v>
      </c>
      <c r="C24" s="81">
        <v>43466</v>
      </c>
      <c r="D24" s="82">
        <v>1</v>
      </c>
      <c r="E24" s="83"/>
      <c r="F24" s="89">
        <f>F23*0.55</f>
        <v>39.459200000000003</v>
      </c>
      <c r="G24" s="89">
        <f>G23*0.55</f>
        <v>20.314800000000002</v>
      </c>
      <c r="H24" s="84"/>
      <c r="I24" s="84"/>
      <c r="J24" s="84"/>
      <c r="K24" s="85"/>
      <c r="L24" s="106">
        <v>0</v>
      </c>
      <c r="M24" s="115"/>
    </row>
    <row r="25" spans="1:13" s="76" customFormat="1">
      <c r="A25" s="117" t="s">
        <v>220</v>
      </c>
      <c r="B25" s="56" t="s">
        <v>264</v>
      </c>
      <c r="C25" s="81">
        <v>43466</v>
      </c>
      <c r="D25" s="82">
        <v>1</v>
      </c>
      <c r="E25" s="88">
        <v>579.38</v>
      </c>
      <c r="F25" s="88"/>
      <c r="G25" s="88"/>
      <c r="H25" s="84"/>
      <c r="I25" s="84"/>
      <c r="J25" s="84"/>
      <c r="K25" s="85"/>
      <c r="L25" s="106">
        <v>0</v>
      </c>
      <c r="M25" s="115"/>
    </row>
    <row r="26" spans="1:13" s="76" customFormat="1">
      <c r="A26" s="117" t="s">
        <v>221</v>
      </c>
      <c r="B26" s="56" t="s">
        <v>265</v>
      </c>
      <c r="C26" s="81">
        <v>43466</v>
      </c>
      <c r="D26" s="82">
        <v>1</v>
      </c>
      <c r="E26" s="88">
        <v>531.41</v>
      </c>
      <c r="F26" s="88"/>
      <c r="G26" s="88"/>
      <c r="H26" s="84"/>
      <c r="I26" s="84"/>
      <c r="J26" s="84"/>
      <c r="K26" s="85"/>
      <c r="L26" s="106">
        <v>0</v>
      </c>
      <c r="M26" s="115"/>
    </row>
    <row r="27" spans="1:13" s="76" customFormat="1">
      <c r="A27" s="117" t="s">
        <v>222</v>
      </c>
      <c r="B27" s="56" t="s">
        <v>266</v>
      </c>
      <c r="C27" s="81">
        <v>43466</v>
      </c>
      <c r="D27" s="82">
        <v>1</v>
      </c>
      <c r="E27" s="88">
        <v>579.09</v>
      </c>
      <c r="F27" s="88"/>
      <c r="G27" s="88"/>
      <c r="H27" s="84"/>
      <c r="I27" s="84"/>
      <c r="J27" s="84"/>
      <c r="K27" s="85"/>
      <c r="L27" s="106">
        <v>0</v>
      </c>
      <c r="M27" s="115"/>
    </row>
    <row r="28" spans="1:13" s="76" customFormat="1">
      <c r="A28" s="117" t="s">
        <v>223</v>
      </c>
      <c r="B28" s="56" t="s">
        <v>267</v>
      </c>
      <c r="C28" s="81">
        <v>43466</v>
      </c>
      <c r="D28" s="82">
        <v>1</v>
      </c>
      <c r="E28" s="88"/>
      <c r="F28" s="89">
        <v>109.41</v>
      </c>
      <c r="G28" s="84">
        <v>33</v>
      </c>
      <c r="H28" s="84"/>
      <c r="I28" s="84"/>
      <c r="J28" s="84"/>
      <c r="K28" s="85"/>
      <c r="L28" s="106">
        <v>0</v>
      </c>
      <c r="M28" s="115"/>
    </row>
    <row r="29" spans="1:13" s="76" customFormat="1">
      <c r="A29" s="117" t="s">
        <v>224</v>
      </c>
      <c r="B29" s="56" t="s">
        <v>268</v>
      </c>
      <c r="C29" s="81">
        <v>43466</v>
      </c>
      <c r="D29" s="82">
        <v>1</v>
      </c>
      <c r="E29" s="83">
        <v>398.95</v>
      </c>
      <c r="F29" s="89"/>
      <c r="G29" s="89"/>
      <c r="H29" s="84"/>
      <c r="I29" s="84"/>
      <c r="J29" s="84"/>
      <c r="K29" s="85"/>
      <c r="L29" s="106">
        <v>0</v>
      </c>
      <c r="M29" s="116">
        <v>90</v>
      </c>
    </row>
    <row r="30" spans="1:13" s="76" customFormat="1">
      <c r="A30" s="117" t="s">
        <v>225</v>
      </c>
      <c r="B30" s="56" t="s">
        <v>269</v>
      </c>
      <c r="C30" s="81">
        <v>43466</v>
      </c>
      <c r="D30" s="82">
        <v>1</v>
      </c>
      <c r="E30" s="83">
        <v>424.92</v>
      </c>
      <c r="F30" s="109"/>
      <c r="G30" s="109"/>
      <c r="H30" s="110"/>
      <c r="I30" s="110"/>
      <c r="J30" s="110"/>
      <c r="K30" s="111"/>
      <c r="L30" s="106">
        <v>0</v>
      </c>
      <c r="M30" s="116">
        <v>90</v>
      </c>
    </row>
    <row r="31" spans="1:13" s="76" customFormat="1">
      <c r="A31" s="117" t="s">
        <v>226</v>
      </c>
      <c r="B31" s="56" t="s">
        <v>270</v>
      </c>
      <c r="C31" s="81">
        <v>43466</v>
      </c>
      <c r="D31" s="82">
        <v>1</v>
      </c>
      <c r="E31" s="83"/>
      <c r="F31" s="89">
        <v>3866.41</v>
      </c>
      <c r="G31" s="89">
        <v>73.05</v>
      </c>
      <c r="H31" s="84"/>
      <c r="I31" s="84"/>
      <c r="J31" s="84"/>
      <c r="K31" s="85"/>
      <c r="L31" s="106">
        <v>0</v>
      </c>
      <c r="M31" s="115"/>
    </row>
    <row r="32" spans="1:13" s="76" customFormat="1">
      <c r="A32" s="117" t="s">
        <v>227</v>
      </c>
      <c r="B32" s="56" t="s">
        <v>271</v>
      </c>
      <c r="C32" s="81">
        <v>43466</v>
      </c>
      <c r="D32" s="82">
        <v>1</v>
      </c>
      <c r="E32" s="83"/>
      <c r="F32" s="89">
        <v>104.94</v>
      </c>
      <c r="G32" s="89">
        <v>71.63</v>
      </c>
      <c r="H32" s="84"/>
      <c r="I32" s="84"/>
      <c r="J32" s="84"/>
      <c r="K32" s="85"/>
      <c r="L32" s="106">
        <v>0</v>
      </c>
      <c r="M32" s="115"/>
    </row>
    <row r="33" spans="1:13" s="76" customFormat="1">
      <c r="A33" s="117" t="s">
        <v>228</v>
      </c>
      <c r="B33" s="56" t="s">
        <v>272</v>
      </c>
      <c r="C33" s="81">
        <v>43466</v>
      </c>
      <c r="D33" s="82">
        <v>1</v>
      </c>
      <c r="E33" s="83">
        <v>269.02999999999997</v>
      </c>
      <c r="F33" s="89"/>
      <c r="G33" s="89"/>
      <c r="H33" s="84"/>
      <c r="I33" s="84"/>
      <c r="J33" s="84"/>
      <c r="K33" s="85"/>
      <c r="L33" s="106">
        <v>0</v>
      </c>
      <c r="M33" s="115"/>
    </row>
    <row r="34" spans="1:13" s="76" customFormat="1">
      <c r="A34" s="117" t="s">
        <v>229</v>
      </c>
      <c r="B34" s="56" t="s">
        <v>273</v>
      </c>
      <c r="C34" s="81">
        <v>43466</v>
      </c>
      <c r="D34" s="82">
        <v>1</v>
      </c>
      <c r="E34" s="89">
        <v>2782.47</v>
      </c>
      <c r="F34" s="83"/>
      <c r="G34" s="83"/>
      <c r="H34" s="84"/>
      <c r="I34" s="84"/>
      <c r="J34" s="84"/>
      <c r="K34" s="85"/>
      <c r="L34" s="106">
        <v>0</v>
      </c>
      <c r="M34" s="116">
        <v>90</v>
      </c>
    </row>
    <row r="35" spans="1:13" s="76" customFormat="1">
      <c r="A35" s="117" t="s">
        <v>230</v>
      </c>
      <c r="B35" s="56" t="s">
        <v>274</v>
      </c>
      <c r="C35" s="81">
        <v>43466</v>
      </c>
      <c r="D35" s="82">
        <v>1</v>
      </c>
      <c r="E35" s="89">
        <v>846.72</v>
      </c>
      <c r="F35" s="83"/>
      <c r="G35" s="83"/>
      <c r="H35" s="84"/>
      <c r="I35" s="84"/>
      <c r="J35" s="84"/>
      <c r="K35" s="85"/>
      <c r="L35" s="106">
        <v>0</v>
      </c>
      <c r="M35" s="115"/>
    </row>
    <row r="36" spans="1:13" s="76" customFormat="1">
      <c r="A36" s="117" t="s">
        <v>231</v>
      </c>
      <c r="B36" s="56" t="s">
        <v>275</v>
      </c>
      <c r="C36" s="81">
        <v>43466</v>
      </c>
      <c r="D36" s="82">
        <v>1</v>
      </c>
      <c r="E36" s="89"/>
      <c r="F36" s="83">
        <v>319.38</v>
      </c>
      <c r="G36" s="83">
        <v>74.819999999999993</v>
      </c>
      <c r="H36" s="84"/>
      <c r="I36" s="84"/>
      <c r="J36" s="84"/>
      <c r="K36" s="85"/>
      <c r="L36" s="106">
        <v>0</v>
      </c>
      <c r="M36" s="115"/>
    </row>
    <row r="37" spans="1:13" s="76" customFormat="1">
      <c r="A37" s="117" t="s">
        <v>232</v>
      </c>
      <c r="B37" s="56" t="s">
        <v>276</v>
      </c>
      <c r="C37" s="81">
        <v>43466</v>
      </c>
      <c r="D37" s="82">
        <v>1</v>
      </c>
      <c r="E37" s="89"/>
      <c r="F37" s="83">
        <v>300.63</v>
      </c>
      <c r="G37" s="83">
        <v>69.3</v>
      </c>
      <c r="H37" s="84"/>
      <c r="I37" s="84"/>
      <c r="J37" s="84"/>
      <c r="K37" s="85"/>
      <c r="L37" s="106">
        <v>0</v>
      </c>
      <c r="M37" s="115"/>
    </row>
    <row r="38" spans="1:13" s="76" customFormat="1">
      <c r="A38" s="117" t="s">
        <v>233</v>
      </c>
      <c r="B38" s="56" t="s">
        <v>277</v>
      </c>
      <c r="C38" s="81">
        <v>43466</v>
      </c>
      <c r="D38" s="82">
        <v>1</v>
      </c>
      <c r="E38" s="89">
        <v>352.45</v>
      </c>
      <c r="F38" s="83"/>
      <c r="G38" s="83"/>
      <c r="H38" s="84"/>
      <c r="I38" s="84"/>
      <c r="J38" s="84"/>
      <c r="K38" s="85"/>
      <c r="L38" s="106">
        <v>0</v>
      </c>
      <c r="M38" s="116">
        <v>90</v>
      </c>
    </row>
    <row r="39" spans="1:13" s="76" customFormat="1">
      <c r="A39" s="117" t="s">
        <v>234</v>
      </c>
      <c r="B39" s="56" t="s">
        <v>278</v>
      </c>
      <c r="C39" s="81">
        <v>43466</v>
      </c>
      <c r="D39" s="82">
        <v>1</v>
      </c>
      <c r="E39" s="89"/>
      <c r="F39" s="83">
        <v>168.9</v>
      </c>
      <c r="G39" s="83">
        <v>30.89</v>
      </c>
      <c r="H39" s="84"/>
      <c r="I39" s="84"/>
      <c r="J39" s="84"/>
      <c r="K39" s="85"/>
      <c r="L39" s="106">
        <v>0</v>
      </c>
      <c r="M39" s="115"/>
    </row>
    <row r="40" spans="1:13" s="76" customFormat="1">
      <c r="A40" s="117" t="s">
        <v>235</v>
      </c>
      <c r="B40" s="56" t="s">
        <v>279</v>
      </c>
      <c r="C40" s="81">
        <v>43466</v>
      </c>
      <c r="D40" s="82">
        <v>1</v>
      </c>
      <c r="E40" s="89"/>
      <c r="F40" s="83">
        <v>251.61</v>
      </c>
      <c r="G40" s="83">
        <v>67.599999999999994</v>
      </c>
      <c r="H40" s="84"/>
      <c r="I40" s="84"/>
      <c r="J40" s="84"/>
      <c r="K40" s="85"/>
      <c r="L40" s="106">
        <v>0</v>
      </c>
      <c r="M40" s="115"/>
    </row>
    <row r="41" spans="1:13" s="76" customFormat="1">
      <c r="A41" s="117" t="s">
        <v>236</v>
      </c>
      <c r="B41" s="56" t="s">
        <v>280</v>
      </c>
      <c r="C41" s="81">
        <v>43466</v>
      </c>
      <c r="D41" s="82">
        <v>1</v>
      </c>
      <c r="E41" s="89">
        <v>122.87</v>
      </c>
      <c r="F41" s="83"/>
      <c r="G41" s="83"/>
      <c r="H41" s="84"/>
      <c r="I41" s="84"/>
      <c r="J41" s="84"/>
      <c r="K41" s="85"/>
      <c r="L41" s="106">
        <v>0</v>
      </c>
      <c r="M41" s="115"/>
    </row>
    <row r="42" spans="1:13" s="76" customFormat="1">
      <c r="A42" s="117" t="s">
        <v>237</v>
      </c>
      <c r="B42" s="56" t="s">
        <v>281</v>
      </c>
      <c r="C42" s="81">
        <v>43466</v>
      </c>
      <c r="D42" s="82">
        <v>1</v>
      </c>
      <c r="E42" s="89">
        <v>205.48</v>
      </c>
      <c r="F42" s="83"/>
      <c r="G42" s="83"/>
      <c r="H42" s="84"/>
      <c r="I42" s="84"/>
      <c r="J42" s="84"/>
      <c r="K42" s="85"/>
      <c r="L42" s="106">
        <v>0</v>
      </c>
      <c r="M42" s="115"/>
    </row>
    <row r="43" spans="1:13" s="76" customFormat="1">
      <c r="A43" s="117" t="s">
        <v>238</v>
      </c>
      <c r="B43" s="56" t="s">
        <v>282</v>
      </c>
      <c r="C43" s="81">
        <v>43466</v>
      </c>
      <c r="D43" s="82">
        <v>1</v>
      </c>
      <c r="E43" s="89"/>
      <c r="F43" s="83">
        <v>1392.05</v>
      </c>
      <c r="G43" s="83">
        <v>303.85000000000002</v>
      </c>
      <c r="H43" s="84"/>
      <c r="I43" s="84"/>
      <c r="J43" s="84"/>
      <c r="K43" s="85"/>
      <c r="L43" s="106">
        <v>0</v>
      </c>
      <c r="M43" s="57">
        <v>90</v>
      </c>
    </row>
    <row r="44" spans="1:13" s="76" customFormat="1">
      <c r="A44" s="117" t="s">
        <v>239</v>
      </c>
      <c r="B44" s="56" t="s">
        <v>283</v>
      </c>
      <c r="C44" s="81">
        <v>43466</v>
      </c>
      <c r="D44" s="82">
        <v>1</v>
      </c>
      <c r="E44" s="89">
        <v>178.89</v>
      </c>
      <c r="F44" s="83"/>
      <c r="G44" s="83"/>
      <c r="H44" s="84"/>
      <c r="I44" s="84"/>
      <c r="J44" s="84"/>
      <c r="K44" s="85" t="s">
        <v>62</v>
      </c>
      <c r="L44" s="106">
        <v>1</v>
      </c>
      <c r="M44" s="57"/>
    </row>
    <row r="45" spans="1:13" s="76" customFormat="1">
      <c r="A45" s="117" t="s">
        <v>240</v>
      </c>
      <c r="B45" s="56" t="s">
        <v>284</v>
      </c>
      <c r="C45" s="81">
        <v>43466</v>
      </c>
      <c r="D45" s="82">
        <v>1</v>
      </c>
      <c r="E45" s="89">
        <v>246.86</v>
      </c>
      <c r="F45" s="83"/>
      <c r="G45" s="83"/>
      <c r="H45" s="84"/>
      <c r="I45" s="84"/>
      <c r="J45" s="84"/>
      <c r="K45" s="85" t="s">
        <v>62</v>
      </c>
      <c r="L45" s="106">
        <v>1</v>
      </c>
      <c r="M45" s="57"/>
    </row>
    <row r="46" spans="1:13" s="76" customFormat="1">
      <c r="A46" s="117" t="s">
        <v>241</v>
      </c>
      <c r="B46" s="56" t="s">
        <v>285</v>
      </c>
      <c r="C46" s="81">
        <v>43466</v>
      </c>
      <c r="D46" s="82">
        <v>1</v>
      </c>
      <c r="E46" s="89">
        <v>166.87</v>
      </c>
      <c r="F46" s="83"/>
      <c r="G46" s="83"/>
      <c r="H46" s="84"/>
      <c r="I46" s="84"/>
      <c r="J46" s="84"/>
      <c r="K46" s="85" t="s">
        <v>34</v>
      </c>
      <c r="L46" s="106">
        <v>1</v>
      </c>
      <c r="M46" s="57"/>
    </row>
    <row r="47" spans="1:13" s="76" customFormat="1">
      <c r="A47" s="117" t="s">
        <v>242</v>
      </c>
      <c r="B47" s="56" t="s">
        <v>286</v>
      </c>
      <c r="C47" s="81">
        <v>43466</v>
      </c>
      <c r="D47" s="82">
        <v>1</v>
      </c>
      <c r="E47" s="89">
        <v>81.91</v>
      </c>
      <c r="F47" s="83"/>
      <c r="G47" s="83"/>
      <c r="H47" s="84"/>
      <c r="I47" s="84"/>
      <c r="J47" s="84"/>
      <c r="K47" s="85" t="s">
        <v>34</v>
      </c>
      <c r="L47" s="106">
        <v>1</v>
      </c>
      <c r="M47" s="57"/>
    </row>
    <row r="48" spans="1:13" s="76" customFormat="1">
      <c r="A48" s="117" t="s">
        <v>243</v>
      </c>
      <c r="B48" s="56" t="s">
        <v>287</v>
      </c>
      <c r="C48" s="81">
        <v>43466</v>
      </c>
      <c r="D48" s="82">
        <v>1</v>
      </c>
      <c r="E48" s="89">
        <v>73.45</v>
      </c>
      <c r="F48" s="83"/>
      <c r="G48" s="83"/>
      <c r="H48" s="84"/>
      <c r="I48" s="84"/>
      <c r="J48" s="84"/>
      <c r="K48" s="85" t="s">
        <v>6</v>
      </c>
      <c r="L48" s="106">
        <v>1</v>
      </c>
      <c r="M48" s="57"/>
    </row>
    <row r="49" spans="1:13" s="76" customFormat="1">
      <c r="A49" s="117" t="s">
        <v>244</v>
      </c>
      <c r="B49" s="56" t="s">
        <v>288</v>
      </c>
      <c r="C49" s="81">
        <v>43466</v>
      </c>
      <c r="D49" s="82">
        <v>1</v>
      </c>
      <c r="E49" s="83">
        <v>45.42</v>
      </c>
      <c r="F49" s="89"/>
      <c r="G49" s="89"/>
      <c r="H49" s="84"/>
      <c r="I49" s="84"/>
      <c r="J49" s="84"/>
      <c r="K49" s="85" t="s">
        <v>32</v>
      </c>
      <c r="L49" s="106">
        <v>1</v>
      </c>
      <c r="M49" s="57"/>
    </row>
    <row r="50" spans="1:13" s="76" customFormat="1">
      <c r="A50" s="117" t="s">
        <v>245</v>
      </c>
      <c r="B50" s="56" t="s">
        <v>289</v>
      </c>
      <c r="C50" s="81">
        <v>43466</v>
      </c>
      <c r="D50" s="82">
        <v>1</v>
      </c>
      <c r="E50" s="83">
        <v>189.29</v>
      </c>
      <c r="F50" s="89"/>
      <c r="G50" s="89"/>
      <c r="H50" s="84"/>
      <c r="I50" s="84"/>
      <c r="J50" s="84"/>
      <c r="K50" s="85" t="s">
        <v>61</v>
      </c>
      <c r="L50" s="106">
        <v>1</v>
      </c>
      <c r="M50" s="57"/>
    </row>
    <row r="51" spans="1:13" s="76" customFormat="1">
      <c r="A51" s="117" t="s">
        <v>246</v>
      </c>
      <c r="B51" s="56" t="s">
        <v>290</v>
      </c>
      <c r="C51" s="81">
        <v>43466</v>
      </c>
      <c r="D51" s="82">
        <v>1</v>
      </c>
      <c r="E51" s="83">
        <v>194.7</v>
      </c>
      <c r="F51" s="89"/>
      <c r="G51" s="89"/>
      <c r="H51" s="84"/>
      <c r="I51" s="84"/>
      <c r="J51" s="84"/>
      <c r="K51" s="85" t="s">
        <v>6</v>
      </c>
      <c r="L51" s="106">
        <v>1</v>
      </c>
      <c r="M51" s="57"/>
    </row>
    <row r="52" spans="1:13" s="76" customFormat="1">
      <c r="A52" s="117" t="s">
        <v>247</v>
      </c>
      <c r="B52" s="56" t="s">
        <v>291</v>
      </c>
      <c r="C52" s="81">
        <v>43466</v>
      </c>
      <c r="D52" s="82">
        <v>1</v>
      </c>
      <c r="E52" s="83">
        <v>300.17</v>
      </c>
      <c r="F52" s="91"/>
      <c r="G52" s="91"/>
      <c r="H52" s="84"/>
      <c r="I52" s="84"/>
      <c r="J52" s="84"/>
      <c r="K52" s="85" t="s">
        <v>61</v>
      </c>
      <c r="L52" s="106">
        <v>1</v>
      </c>
      <c r="M52" s="57"/>
    </row>
    <row r="53" spans="1:13" s="76" customFormat="1">
      <c r="A53" s="117" t="s">
        <v>248</v>
      </c>
      <c r="B53" s="56" t="s">
        <v>292</v>
      </c>
      <c r="C53" s="81">
        <v>43466</v>
      </c>
      <c r="D53" s="82">
        <v>1</v>
      </c>
      <c r="E53" s="83">
        <v>307.02</v>
      </c>
      <c r="F53" s="91"/>
      <c r="G53" s="91"/>
      <c r="H53" s="84"/>
      <c r="I53" s="84"/>
      <c r="J53" s="84"/>
      <c r="K53" s="85" t="s">
        <v>61</v>
      </c>
      <c r="L53" s="106">
        <v>1</v>
      </c>
      <c r="M53" s="57"/>
    </row>
    <row r="54" spans="1:13" s="76" customFormat="1">
      <c r="A54" s="107" t="s">
        <v>404</v>
      </c>
      <c r="B54" s="118" t="s">
        <v>434</v>
      </c>
      <c r="C54" s="81">
        <v>43466</v>
      </c>
      <c r="D54" s="82">
        <v>1</v>
      </c>
      <c r="E54" s="91">
        <v>43.97</v>
      </c>
      <c r="F54" s="112"/>
      <c r="G54" s="112"/>
      <c r="H54" s="113"/>
      <c r="I54" s="113"/>
      <c r="J54" s="113"/>
      <c r="K54" s="114" t="s">
        <v>61</v>
      </c>
      <c r="L54" s="106">
        <v>1</v>
      </c>
      <c r="M54" s="57"/>
    </row>
    <row r="55" spans="1:13" s="76" customFormat="1">
      <c r="A55" s="107" t="s">
        <v>405</v>
      </c>
      <c r="B55" s="118" t="s">
        <v>435</v>
      </c>
      <c r="C55" s="81">
        <v>43466</v>
      </c>
      <c r="D55" s="82">
        <v>1</v>
      </c>
      <c r="E55" s="83">
        <f>E54*0.7</f>
        <v>30.778999999999996</v>
      </c>
      <c r="F55" s="91"/>
      <c r="G55" s="91"/>
      <c r="H55" s="84"/>
      <c r="I55" s="84"/>
      <c r="J55" s="84"/>
      <c r="K55" s="85" t="s">
        <v>31</v>
      </c>
      <c r="L55" s="106">
        <v>1</v>
      </c>
      <c r="M55" s="57"/>
    </row>
    <row r="56" spans="1:13" s="76" customFormat="1">
      <c r="A56" s="107" t="s">
        <v>406</v>
      </c>
      <c r="B56" s="118" t="s">
        <v>436</v>
      </c>
      <c r="C56" s="81">
        <v>43466</v>
      </c>
      <c r="D56" s="82">
        <v>1</v>
      </c>
      <c r="E56" s="83"/>
      <c r="F56" s="91">
        <v>39.869999999999997</v>
      </c>
      <c r="G56" s="91">
        <v>28.77</v>
      </c>
      <c r="H56" s="84"/>
      <c r="I56" s="84"/>
      <c r="J56" s="84"/>
      <c r="K56" s="85"/>
      <c r="L56" s="142">
        <v>0</v>
      </c>
      <c r="M56" s="57"/>
    </row>
    <row r="57" spans="1:13" s="76" customFormat="1">
      <c r="A57" s="107" t="s">
        <v>407</v>
      </c>
      <c r="B57" s="118" t="s">
        <v>437</v>
      </c>
      <c r="C57" s="81">
        <v>43466</v>
      </c>
      <c r="D57" s="82">
        <v>1</v>
      </c>
      <c r="E57" s="91">
        <v>88.57</v>
      </c>
      <c r="F57" s="91"/>
      <c r="G57" s="91"/>
      <c r="H57" s="84"/>
      <c r="I57" s="84"/>
      <c r="J57" s="84"/>
      <c r="K57" s="85"/>
      <c r="L57" s="142" t="s">
        <v>605</v>
      </c>
      <c r="M57" s="57"/>
    </row>
    <row r="58" spans="1:13" s="76" customFormat="1">
      <c r="A58" s="107" t="s">
        <v>408</v>
      </c>
      <c r="B58" s="118" t="s">
        <v>438</v>
      </c>
      <c r="C58" s="81">
        <v>43466</v>
      </c>
      <c r="D58" s="82">
        <v>1</v>
      </c>
      <c r="E58" s="83"/>
      <c r="F58" s="91">
        <v>32.590000000000003</v>
      </c>
      <c r="G58" s="91">
        <v>32.06</v>
      </c>
      <c r="H58" s="84"/>
      <c r="I58" s="84"/>
      <c r="J58" s="84"/>
      <c r="K58" s="85"/>
      <c r="L58" s="106">
        <v>0</v>
      </c>
      <c r="M58" s="57"/>
    </row>
    <row r="59" spans="1:13" s="76" customFormat="1">
      <c r="A59" s="107" t="s">
        <v>409</v>
      </c>
      <c r="B59" s="118" t="s">
        <v>439</v>
      </c>
      <c r="C59" s="81">
        <v>43466</v>
      </c>
      <c r="D59" s="82">
        <v>1</v>
      </c>
      <c r="E59" s="83"/>
      <c r="F59" s="91">
        <v>43.26</v>
      </c>
      <c r="G59" s="91">
        <v>42.74</v>
      </c>
      <c r="H59" s="84"/>
      <c r="I59" s="84"/>
      <c r="J59" s="84"/>
      <c r="K59" s="85"/>
      <c r="L59" s="106">
        <v>0</v>
      </c>
      <c r="M59" s="57"/>
    </row>
    <row r="60" spans="1:13" s="76" customFormat="1">
      <c r="A60" s="107" t="s">
        <v>410</v>
      </c>
      <c r="B60" s="118" t="s">
        <v>440</v>
      </c>
      <c r="C60" s="81">
        <v>43466</v>
      </c>
      <c r="D60" s="82">
        <v>1</v>
      </c>
      <c r="E60" s="83"/>
      <c r="F60" s="91">
        <v>41.03</v>
      </c>
      <c r="G60" s="91">
        <v>40.5</v>
      </c>
      <c r="H60" s="84"/>
      <c r="I60" s="84"/>
      <c r="J60" s="84"/>
      <c r="K60" s="85"/>
      <c r="L60" s="106">
        <v>0</v>
      </c>
      <c r="M60" s="57"/>
    </row>
    <row r="61" spans="1:13" s="76" customFormat="1">
      <c r="A61" s="107" t="s">
        <v>411</v>
      </c>
      <c r="B61" s="118" t="s">
        <v>441</v>
      </c>
      <c r="C61" s="81">
        <v>43466</v>
      </c>
      <c r="D61" s="82">
        <v>1</v>
      </c>
      <c r="E61" s="91"/>
      <c r="F61" s="92">
        <v>35.69</v>
      </c>
      <c r="G61" s="92">
        <v>35.43</v>
      </c>
      <c r="H61" s="84"/>
      <c r="I61" s="84"/>
      <c r="J61" s="84"/>
      <c r="K61" s="85"/>
      <c r="L61" s="106">
        <v>0</v>
      </c>
      <c r="M61" s="57"/>
    </row>
    <row r="62" spans="1:13" s="76" customFormat="1">
      <c r="A62" s="107" t="s">
        <v>412</v>
      </c>
      <c r="B62" s="106" t="s">
        <v>423</v>
      </c>
      <c r="C62" s="81">
        <v>43466</v>
      </c>
      <c r="D62" s="82">
        <v>1</v>
      </c>
      <c r="E62" s="91"/>
      <c r="F62" s="92">
        <v>56.11</v>
      </c>
      <c r="G62" s="92">
        <v>41.71</v>
      </c>
      <c r="H62" s="84"/>
      <c r="I62" s="84"/>
      <c r="J62" s="84"/>
      <c r="K62" s="85"/>
      <c r="L62" s="106">
        <v>0</v>
      </c>
      <c r="M62" s="57"/>
    </row>
    <row r="63" spans="1:13" s="76" customFormat="1">
      <c r="A63" s="107" t="s">
        <v>413</v>
      </c>
      <c r="B63" s="106" t="s">
        <v>424</v>
      </c>
      <c r="C63" s="81">
        <v>43466</v>
      </c>
      <c r="D63" s="82">
        <v>1</v>
      </c>
      <c r="E63" s="91"/>
      <c r="F63" s="162">
        <v>28.06</v>
      </c>
      <c r="G63" s="162">
        <v>20.86</v>
      </c>
      <c r="H63" s="84"/>
      <c r="I63" s="84"/>
      <c r="J63" s="84"/>
      <c r="K63" s="85"/>
      <c r="L63" s="106">
        <v>0</v>
      </c>
      <c r="M63" s="57"/>
    </row>
    <row r="64" spans="1:13" s="76" customFormat="1">
      <c r="A64" s="107" t="s">
        <v>414</v>
      </c>
      <c r="B64" s="106" t="s">
        <v>425</v>
      </c>
      <c r="C64" s="81">
        <v>43466</v>
      </c>
      <c r="D64" s="82">
        <v>1</v>
      </c>
      <c r="E64" s="83"/>
      <c r="F64" s="162">
        <v>64.099999999999994</v>
      </c>
      <c r="G64" s="162">
        <v>47.9</v>
      </c>
      <c r="H64" s="84"/>
      <c r="I64" s="84"/>
      <c r="J64" s="84"/>
      <c r="K64" s="85"/>
      <c r="L64" s="106">
        <v>0</v>
      </c>
      <c r="M64" s="57"/>
    </row>
    <row r="65" spans="1:13" s="76" customFormat="1">
      <c r="A65" s="107" t="s">
        <v>415</v>
      </c>
      <c r="B65" s="106" t="s">
        <v>426</v>
      </c>
      <c r="C65" s="81">
        <v>43466</v>
      </c>
      <c r="D65" s="82">
        <v>1</v>
      </c>
      <c r="E65" s="83"/>
      <c r="F65" s="162">
        <v>59.26</v>
      </c>
      <c r="G65" s="162">
        <v>46.15</v>
      </c>
      <c r="H65" s="84"/>
      <c r="I65" s="84"/>
      <c r="J65" s="84"/>
      <c r="K65" s="85"/>
      <c r="L65" s="106">
        <v>0</v>
      </c>
      <c r="M65" s="57"/>
    </row>
    <row r="66" spans="1:13" s="76" customFormat="1">
      <c r="A66" s="107" t="s">
        <v>416</v>
      </c>
      <c r="B66" s="106" t="s">
        <v>427</v>
      </c>
      <c r="C66" s="81">
        <v>43466</v>
      </c>
      <c r="D66" s="82">
        <v>1</v>
      </c>
      <c r="E66" s="83"/>
      <c r="F66" s="162">
        <v>59.26</v>
      </c>
      <c r="G66" s="162">
        <v>46.15</v>
      </c>
      <c r="H66" s="84"/>
      <c r="I66" s="84"/>
      <c r="J66" s="84"/>
      <c r="K66" s="85"/>
      <c r="L66" s="106">
        <v>0</v>
      </c>
      <c r="M66" s="57"/>
    </row>
    <row r="67" spans="1:13" s="76" customFormat="1">
      <c r="A67" s="107" t="s">
        <v>607</v>
      </c>
      <c r="B67" t="s">
        <v>608</v>
      </c>
      <c r="C67" s="81">
        <v>43466</v>
      </c>
      <c r="D67" s="82">
        <v>1</v>
      </c>
      <c r="E67" s="83"/>
      <c r="F67" s="162">
        <v>97.37</v>
      </c>
      <c r="G67" s="162">
        <f>F67*0.8</f>
        <v>77.896000000000015</v>
      </c>
      <c r="H67" s="84"/>
      <c r="I67" s="84"/>
      <c r="J67" s="84"/>
      <c r="K67" s="85"/>
      <c r="L67" s="106">
        <v>0</v>
      </c>
      <c r="M67" s="57"/>
    </row>
    <row r="68" spans="1:13" s="76" customFormat="1">
      <c r="A68" s="107" t="s">
        <v>417</v>
      </c>
      <c r="B68" s="106" t="s">
        <v>428</v>
      </c>
      <c r="C68" s="81">
        <v>43466</v>
      </c>
      <c r="D68" s="82">
        <v>1</v>
      </c>
      <c r="E68" s="83"/>
      <c r="F68" s="93">
        <v>78.31</v>
      </c>
      <c r="G68" s="93">
        <v>58.85</v>
      </c>
      <c r="H68" s="84"/>
      <c r="I68" s="84"/>
      <c r="J68" s="84"/>
      <c r="K68" s="85"/>
      <c r="L68" s="106">
        <v>0</v>
      </c>
      <c r="M68" s="87"/>
    </row>
    <row r="69" spans="1:13" s="76" customFormat="1">
      <c r="A69" s="107" t="s">
        <v>418</v>
      </c>
      <c r="B69" s="106" t="s">
        <v>429</v>
      </c>
      <c r="C69" s="81">
        <v>43466</v>
      </c>
      <c r="D69" s="82">
        <v>1</v>
      </c>
      <c r="E69" s="83"/>
      <c r="F69" s="93">
        <v>30.86</v>
      </c>
      <c r="G69" s="93">
        <v>16.66</v>
      </c>
      <c r="H69" s="84"/>
      <c r="I69" s="84"/>
      <c r="J69" s="84"/>
      <c r="K69" s="85"/>
      <c r="L69" s="106">
        <v>0</v>
      </c>
      <c r="M69" s="87"/>
    </row>
    <row r="70" spans="1:13" s="76" customFormat="1">
      <c r="A70" s="107" t="s">
        <v>419</v>
      </c>
      <c r="B70" s="106" t="s">
        <v>430</v>
      </c>
      <c r="C70" s="81">
        <v>43466</v>
      </c>
      <c r="D70" s="82">
        <v>1</v>
      </c>
      <c r="E70" s="83"/>
      <c r="F70" s="93">
        <v>28.39</v>
      </c>
      <c r="G70" s="93">
        <v>15.33</v>
      </c>
      <c r="H70" s="84"/>
      <c r="I70" s="84"/>
      <c r="J70" s="84"/>
      <c r="K70" s="85"/>
      <c r="L70" s="106">
        <v>0</v>
      </c>
      <c r="M70" s="87"/>
    </row>
    <row r="71" spans="1:13" s="76" customFormat="1">
      <c r="A71" s="150" t="s">
        <v>420</v>
      </c>
      <c r="B71" s="154" t="s">
        <v>431</v>
      </c>
      <c r="C71" s="81">
        <v>43466</v>
      </c>
      <c r="D71" s="82">
        <v>1</v>
      </c>
      <c r="E71" s="83" t="s">
        <v>17</v>
      </c>
      <c r="F71" s="91"/>
      <c r="G71" s="91"/>
      <c r="H71" s="84"/>
      <c r="I71" s="84"/>
      <c r="J71" s="84"/>
      <c r="K71" s="85"/>
      <c r="L71" s="142" t="s">
        <v>606</v>
      </c>
      <c r="M71" s="87"/>
    </row>
    <row r="72" spans="1:13" s="76" customFormat="1">
      <c r="A72" s="150" t="s">
        <v>421</v>
      </c>
      <c r="B72" s="154" t="s">
        <v>432</v>
      </c>
      <c r="C72" s="81">
        <v>43466</v>
      </c>
      <c r="D72" s="82">
        <v>1</v>
      </c>
      <c r="E72" s="83" t="s">
        <v>17</v>
      </c>
      <c r="F72" s="91"/>
      <c r="G72" s="91"/>
      <c r="H72" s="84"/>
      <c r="I72" s="84"/>
      <c r="J72" s="84"/>
      <c r="K72" s="85"/>
      <c r="L72" s="142" t="s">
        <v>606</v>
      </c>
      <c r="M72" s="87"/>
    </row>
    <row r="73" spans="1:13" s="76" customFormat="1">
      <c r="A73" s="107" t="s">
        <v>422</v>
      </c>
      <c r="B73" s="106" t="s">
        <v>433</v>
      </c>
      <c r="C73" s="81">
        <v>43466</v>
      </c>
      <c r="D73" s="82">
        <v>1</v>
      </c>
      <c r="E73" s="83">
        <v>1.61</v>
      </c>
      <c r="F73" s="91"/>
      <c r="G73" s="91"/>
      <c r="H73" s="84"/>
      <c r="I73" s="84"/>
      <c r="J73" s="84"/>
      <c r="K73" s="85"/>
      <c r="L73" s="142" t="s">
        <v>606</v>
      </c>
      <c r="M73" s="87"/>
    </row>
    <row r="74" spans="1:13" s="76" customFormat="1">
      <c r="A74" s="107" t="s">
        <v>442</v>
      </c>
      <c r="B74" s="106" t="s">
        <v>448</v>
      </c>
      <c r="C74" s="81">
        <v>43466</v>
      </c>
      <c r="D74" s="82">
        <v>1</v>
      </c>
      <c r="E74" s="83" t="s">
        <v>17</v>
      </c>
      <c r="F74" s="91"/>
      <c r="G74" s="91"/>
      <c r="H74" s="84"/>
      <c r="I74" s="84"/>
      <c r="J74" s="84"/>
      <c r="K74" s="85"/>
      <c r="L74" s="106">
        <v>0</v>
      </c>
      <c r="M74" s="87"/>
    </row>
    <row r="75" spans="1:13" s="76" customFormat="1">
      <c r="A75" s="107" t="s">
        <v>443</v>
      </c>
      <c r="B75" s="106" t="s">
        <v>449</v>
      </c>
      <c r="C75" s="81">
        <v>43466</v>
      </c>
      <c r="D75" s="82">
        <v>1</v>
      </c>
      <c r="E75" s="83" t="s">
        <v>17</v>
      </c>
      <c r="F75" s="91"/>
      <c r="G75" s="91"/>
      <c r="H75" s="84"/>
      <c r="I75" s="84"/>
      <c r="J75" s="84"/>
      <c r="K75" s="85"/>
      <c r="L75" s="106">
        <v>0</v>
      </c>
      <c r="M75" s="87"/>
    </row>
    <row r="76" spans="1:13" s="76" customFormat="1">
      <c r="A76" s="107" t="s">
        <v>444</v>
      </c>
      <c r="B76" s="106" t="s">
        <v>450</v>
      </c>
      <c r="C76" s="81">
        <v>43466</v>
      </c>
      <c r="D76" s="82">
        <v>1</v>
      </c>
      <c r="E76" s="83">
        <v>14.3</v>
      </c>
      <c r="F76" s="91"/>
      <c r="G76" s="91"/>
      <c r="H76" s="84"/>
      <c r="I76" s="84"/>
      <c r="J76" s="84"/>
      <c r="K76" s="85"/>
      <c r="L76" s="142" t="s">
        <v>605</v>
      </c>
      <c r="M76" s="87"/>
    </row>
    <row r="77" spans="1:13" s="76" customFormat="1">
      <c r="A77" s="107" t="s">
        <v>445</v>
      </c>
      <c r="B77" s="106" t="s">
        <v>451</v>
      </c>
      <c r="C77" s="81">
        <v>43466</v>
      </c>
      <c r="D77" s="82">
        <v>1</v>
      </c>
      <c r="E77" s="83">
        <v>47.09</v>
      </c>
      <c r="F77" s="91"/>
      <c r="G77" s="91"/>
      <c r="H77" s="84"/>
      <c r="I77" s="84"/>
      <c r="J77" s="84"/>
      <c r="K77" s="85"/>
      <c r="L77" s="142" t="s">
        <v>605</v>
      </c>
      <c r="M77" s="87"/>
    </row>
    <row r="78" spans="1:13" s="76" customFormat="1">
      <c r="A78" s="107" t="s">
        <v>446</v>
      </c>
      <c r="B78" s="106" t="s">
        <v>452</v>
      </c>
      <c r="C78" s="81">
        <v>43466</v>
      </c>
      <c r="D78" s="82">
        <v>1</v>
      </c>
      <c r="E78" s="83"/>
      <c r="F78" s="91">
        <v>39.369999999999997</v>
      </c>
      <c r="G78" s="91">
        <v>25.36</v>
      </c>
      <c r="H78" s="84"/>
      <c r="I78" s="84"/>
      <c r="J78" s="84"/>
      <c r="K78" s="85"/>
      <c r="L78" s="106">
        <v>0</v>
      </c>
      <c r="M78" s="87"/>
    </row>
    <row r="79" spans="1:13" s="76" customFormat="1">
      <c r="A79" s="107" t="s">
        <v>447</v>
      </c>
      <c r="B79" s="106" t="s">
        <v>453</v>
      </c>
      <c r="C79" s="81">
        <v>43466</v>
      </c>
      <c r="D79" s="82">
        <v>1</v>
      </c>
      <c r="E79" s="83" t="s">
        <v>17</v>
      </c>
      <c r="F79" s="91"/>
      <c r="G79" s="91"/>
      <c r="H79" s="84"/>
      <c r="I79" s="84"/>
      <c r="J79" s="84"/>
      <c r="K79" s="85"/>
      <c r="L79" s="106">
        <v>0</v>
      </c>
      <c r="M79" s="87"/>
    </row>
    <row r="80" spans="1:13" s="76" customFormat="1">
      <c r="A80" s="107" t="s">
        <v>570</v>
      </c>
      <c r="B80" s="53" t="s">
        <v>571</v>
      </c>
      <c r="C80" s="81">
        <v>43466</v>
      </c>
      <c r="D80" s="82">
        <v>1</v>
      </c>
      <c r="E80" s="83">
        <v>13.27</v>
      </c>
      <c r="F80" s="91"/>
      <c r="G80" s="91"/>
      <c r="H80" s="84"/>
      <c r="I80" s="84"/>
      <c r="J80" s="84"/>
      <c r="K80" s="85"/>
      <c r="L80" s="106"/>
      <c r="M80" s="87"/>
    </row>
    <row r="81" spans="1:13" s="76" customFormat="1">
      <c r="A81" s="107" t="s">
        <v>572</v>
      </c>
      <c r="B81" s="133" t="s">
        <v>573</v>
      </c>
      <c r="C81" s="81">
        <v>43466</v>
      </c>
      <c r="D81" s="82">
        <v>3</v>
      </c>
      <c r="E81" s="83"/>
      <c r="F81" s="91"/>
      <c r="G81" s="91"/>
      <c r="H81" s="84"/>
      <c r="I81" s="84"/>
      <c r="J81" s="84"/>
      <c r="K81" s="85"/>
      <c r="L81" s="106"/>
      <c r="M81" s="87"/>
    </row>
    <row r="82" spans="1:13" s="76" customFormat="1">
      <c r="A82" s="134" t="s">
        <v>574</v>
      </c>
      <c r="B82" s="133" t="s">
        <v>575</v>
      </c>
      <c r="C82" s="81">
        <v>43466</v>
      </c>
      <c r="D82" s="82">
        <v>3</v>
      </c>
      <c r="E82" s="83"/>
      <c r="F82" s="91"/>
      <c r="G82" s="91"/>
      <c r="H82" s="84"/>
      <c r="I82" s="84"/>
      <c r="J82" s="84"/>
      <c r="K82" s="85"/>
      <c r="L82" s="106"/>
      <c r="M82" s="87"/>
    </row>
    <row r="83" spans="1:13" s="76" customFormat="1">
      <c r="A83" s="134" t="s">
        <v>576</v>
      </c>
      <c r="B83" s="133" t="s">
        <v>578</v>
      </c>
      <c r="C83" s="81">
        <v>43466</v>
      </c>
      <c r="D83" s="82">
        <v>3</v>
      </c>
      <c r="E83" s="83"/>
      <c r="F83" s="91"/>
      <c r="G83" s="91"/>
      <c r="H83" s="84"/>
      <c r="I83" s="84"/>
      <c r="J83" s="84"/>
      <c r="K83" s="85"/>
      <c r="L83" s="106"/>
      <c r="M83" s="87"/>
    </row>
    <row r="84" spans="1:13" s="76" customFormat="1">
      <c r="A84" s="134" t="s">
        <v>577</v>
      </c>
      <c r="B84" s="133" t="s">
        <v>579</v>
      </c>
      <c r="C84" s="81">
        <v>43466</v>
      </c>
      <c r="D84" s="82">
        <v>3</v>
      </c>
      <c r="E84" s="83"/>
      <c r="F84" s="91"/>
      <c r="G84" s="91"/>
      <c r="H84" s="84"/>
      <c r="I84" s="84"/>
      <c r="J84" s="84"/>
      <c r="K84" s="85"/>
      <c r="L84" s="106"/>
      <c r="M84" s="87"/>
    </row>
    <row r="85" spans="1:13" s="76" customFormat="1">
      <c r="A85" s="134" t="s">
        <v>580</v>
      </c>
      <c r="B85" s="133" t="s">
        <v>582</v>
      </c>
      <c r="C85" s="81">
        <v>43466</v>
      </c>
      <c r="D85" s="82">
        <v>3</v>
      </c>
      <c r="E85" s="83"/>
      <c r="F85" s="91"/>
      <c r="G85" s="91"/>
      <c r="H85" s="84"/>
      <c r="I85" s="84"/>
      <c r="J85" s="84"/>
      <c r="K85" s="85"/>
      <c r="L85" s="106"/>
      <c r="M85" s="87"/>
    </row>
    <row r="86" spans="1:13" s="76" customFormat="1">
      <c r="A86" s="134" t="s">
        <v>581</v>
      </c>
      <c r="B86" s="133" t="s">
        <v>583</v>
      </c>
      <c r="C86" s="81">
        <v>43466</v>
      </c>
      <c r="D86" s="82">
        <v>3</v>
      </c>
      <c r="E86" s="83"/>
      <c r="F86" s="91"/>
      <c r="G86" s="91"/>
      <c r="H86" s="84"/>
      <c r="I86" s="84"/>
      <c r="J86" s="84"/>
      <c r="K86" s="85"/>
      <c r="L86" s="106"/>
      <c r="M86" s="87"/>
    </row>
    <row r="87" spans="1:13" s="76" customFormat="1">
      <c r="A87" s="135" t="s">
        <v>584</v>
      </c>
      <c r="B87" s="133" t="s">
        <v>585</v>
      </c>
      <c r="C87" s="81">
        <v>43466</v>
      </c>
      <c r="D87" s="82">
        <v>3</v>
      </c>
      <c r="E87" s="83"/>
      <c r="F87" s="91"/>
      <c r="G87" s="91"/>
      <c r="H87" s="84"/>
      <c r="I87" s="84"/>
      <c r="J87" s="84"/>
      <c r="K87" s="85"/>
      <c r="L87" s="106"/>
      <c r="M87" s="87"/>
    </row>
    <row r="88" spans="1:13" s="76" customFormat="1">
      <c r="A88" s="135" t="s">
        <v>586</v>
      </c>
      <c r="B88" s="133" t="s">
        <v>587</v>
      </c>
      <c r="C88" s="81">
        <v>43466</v>
      </c>
      <c r="D88" s="82">
        <v>3</v>
      </c>
      <c r="E88" s="83"/>
      <c r="F88" s="91"/>
      <c r="G88" s="91"/>
      <c r="H88" s="84"/>
      <c r="I88" s="84"/>
      <c r="J88" s="84"/>
      <c r="K88" s="85"/>
      <c r="L88" s="106"/>
      <c r="M88" s="87"/>
    </row>
    <row r="89" spans="1:13" s="76" customFormat="1">
      <c r="A89" s="135" t="s">
        <v>588</v>
      </c>
      <c r="B89" s="133" t="s">
        <v>589</v>
      </c>
      <c r="C89" s="81">
        <v>43466</v>
      </c>
      <c r="D89" s="82">
        <v>3</v>
      </c>
      <c r="E89" s="83"/>
      <c r="F89" s="91"/>
      <c r="G89" s="91"/>
      <c r="H89" s="84"/>
      <c r="I89" s="84"/>
      <c r="J89" s="84"/>
      <c r="K89" s="85"/>
      <c r="L89" s="106"/>
      <c r="M89" s="87"/>
    </row>
    <row r="90" spans="1:13" s="76" customFormat="1">
      <c r="A90" s="135" t="s">
        <v>590</v>
      </c>
      <c r="B90" s="133" t="s">
        <v>591</v>
      </c>
      <c r="C90" s="81">
        <v>43466</v>
      </c>
      <c r="D90" s="82">
        <v>3</v>
      </c>
      <c r="E90" s="83"/>
      <c r="F90" s="91"/>
      <c r="G90" s="91"/>
      <c r="H90" s="84"/>
      <c r="I90" s="84"/>
      <c r="J90" s="84"/>
      <c r="K90" s="85"/>
      <c r="L90" s="106"/>
      <c r="M90" s="87"/>
    </row>
    <row r="91" spans="1:13" s="76" customFormat="1">
      <c r="A91" s="135" t="s">
        <v>592</v>
      </c>
      <c r="B91" s="133" t="s">
        <v>593</v>
      </c>
      <c r="C91" s="81">
        <v>43466</v>
      </c>
      <c r="D91" s="82">
        <v>3</v>
      </c>
      <c r="E91" s="83"/>
      <c r="F91" s="91"/>
      <c r="G91" s="91"/>
      <c r="H91" s="84"/>
      <c r="I91" s="84"/>
      <c r="J91" s="84"/>
      <c r="K91" s="85"/>
      <c r="L91" s="106"/>
      <c r="M91" s="87"/>
    </row>
    <row r="92" spans="1:13" s="76" customFormat="1">
      <c r="A92" s="58" t="s">
        <v>454</v>
      </c>
      <c r="B92" s="56" t="s">
        <v>480</v>
      </c>
      <c r="C92" s="81">
        <v>43466</v>
      </c>
      <c r="D92" s="82">
        <v>3</v>
      </c>
      <c r="E92" s="83"/>
      <c r="F92" s="91"/>
      <c r="G92" s="91"/>
      <c r="H92" s="84"/>
      <c r="I92" s="84"/>
      <c r="J92" s="84"/>
      <c r="K92" s="85"/>
      <c r="L92" s="106"/>
      <c r="M92" s="87"/>
    </row>
    <row r="93" spans="1:13" s="76" customFormat="1">
      <c r="A93" s="58" t="s">
        <v>455</v>
      </c>
      <c r="B93" s="56" t="s">
        <v>481</v>
      </c>
      <c r="C93" s="81">
        <v>43466</v>
      </c>
      <c r="D93" s="82">
        <v>3</v>
      </c>
      <c r="E93" s="83"/>
      <c r="F93" s="91"/>
      <c r="G93" s="91"/>
      <c r="H93" s="84"/>
      <c r="I93" s="84"/>
      <c r="J93" s="84"/>
      <c r="K93" s="85"/>
      <c r="L93" s="106"/>
      <c r="M93" s="87"/>
    </row>
    <row r="94" spans="1:13" s="76" customFormat="1">
      <c r="A94" s="58" t="s">
        <v>456</v>
      </c>
      <c r="B94" s="56" t="s">
        <v>482</v>
      </c>
      <c r="C94" s="81">
        <v>43466</v>
      </c>
      <c r="D94" s="82">
        <v>3</v>
      </c>
      <c r="E94" s="83"/>
      <c r="F94" s="91"/>
      <c r="G94" s="91"/>
      <c r="H94" s="84"/>
      <c r="I94" s="84"/>
      <c r="J94" s="84"/>
      <c r="K94" s="85"/>
      <c r="L94" s="106"/>
      <c r="M94" s="87"/>
    </row>
    <row r="95" spans="1:13" s="76" customFormat="1">
      <c r="A95" s="58" t="s">
        <v>457</v>
      </c>
      <c r="B95" s="56" t="s">
        <v>483</v>
      </c>
      <c r="C95" s="81">
        <v>43466</v>
      </c>
      <c r="D95" s="82">
        <v>3</v>
      </c>
      <c r="E95" s="88"/>
      <c r="F95" s="91"/>
      <c r="G95" s="91"/>
      <c r="H95" s="88"/>
      <c r="I95" s="84"/>
      <c r="J95" s="84"/>
      <c r="K95" s="85"/>
      <c r="L95" s="106"/>
      <c r="M95" s="87"/>
    </row>
    <row r="96" spans="1:13" s="76" customFormat="1">
      <c r="A96" s="58" t="s">
        <v>458</v>
      </c>
      <c r="B96" s="56" t="s">
        <v>484</v>
      </c>
      <c r="C96" s="81">
        <v>43466</v>
      </c>
      <c r="D96" s="82">
        <v>3</v>
      </c>
      <c r="E96" s="88"/>
      <c r="F96" s="91"/>
      <c r="G96" s="91"/>
      <c r="H96" s="88"/>
      <c r="I96" s="84"/>
      <c r="J96" s="84"/>
      <c r="K96" s="85"/>
      <c r="L96"/>
      <c r="M96" s="119"/>
    </row>
    <row r="97" spans="1:13" s="76" customFormat="1">
      <c r="A97" s="58" t="s">
        <v>459</v>
      </c>
      <c r="B97" s="56" t="s">
        <v>485</v>
      </c>
      <c r="C97" s="81">
        <v>43466</v>
      </c>
      <c r="D97" s="82">
        <v>3</v>
      </c>
      <c r="E97" s="88"/>
      <c r="F97" s="91"/>
      <c r="G97" s="91"/>
      <c r="H97" s="88"/>
      <c r="I97" s="84"/>
      <c r="J97" s="84"/>
      <c r="K97" s="85"/>
      <c r="L97" s="86"/>
      <c r="M97" s="87"/>
    </row>
    <row r="98" spans="1:13" s="76" customFormat="1">
      <c r="A98" s="58" t="s">
        <v>460</v>
      </c>
      <c r="B98" s="56" t="s">
        <v>486</v>
      </c>
      <c r="C98" s="81">
        <v>43466</v>
      </c>
      <c r="D98" s="82">
        <v>3</v>
      </c>
      <c r="E98" s="88"/>
      <c r="F98" s="91"/>
      <c r="G98" s="91"/>
      <c r="H98" s="88"/>
      <c r="I98" s="84"/>
      <c r="J98" s="84"/>
      <c r="K98" s="85"/>
      <c r="L98" s="86"/>
      <c r="M98" s="87"/>
    </row>
    <row r="99" spans="1:13" s="76" customFormat="1">
      <c r="A99" s="58" t="s">
        <v>461</v>
      </c>
      <c r="B99" s="56" t="s">
        <v>487</v>
      </c>
      <c r="C99" s="81">
        <v>43466</v>
      </c>
      <c r="D99" s="82">
        <v>3</v>
      </c>
      <c r="E99" s="88"/>
      <c r="F99" s="91"/>
      <c r="G99" s="91"/>
      <c r="H99" s="88"/>
      <c r="I99" s="84"/>
      <c r="J99" s="84"/>
      <c r="K99" s="85"/>
      <c r="L99" s="86"/>
      <c r="M99" s="87"/>
    </row>
    <row r="100" spans="1:13" s="76" customFormat="1">
      <c r="A100" s="58" t="s">
        <v>462</v>
      </c>
      <c r="B100" s="56" t="s">
        <v>488</v>
      </c>
      <c r="C100" s="81">
        <v>43466</v>
      </c>
      <c r="D100" s="82">
        <v>3</v>
      </c>
      <c r="E100" s="88"/>
      <c r="F100" s="91"/>
      <c r="G100" s="91"/>
      <c r="H100" s="88"/>
      <c r="I100" s="84"/>
      <c r="J100" s="84"/>
      <c r="K100" s="85"/>
      <c r="L100" s="86"/>
      <c r="M100" s="87"/>
    </row>
    <row r="101" spans="1:13" s="76" customFormat="1">
      <c r="A101" s="58" t="s">
        <v>463</v>
      </c>
      <c r="B101" s="56" t="s">
        <v>489</v>
      </c>
      <c r="C101" s="81">
        <v>43466</v>
      </c>
      <c r="D101" s="82">
        <v>3</v>
      </c>
      <c r="E101" s="88"/>
      <c r="F101" s="91"/>
      <c r="G101" s="91"/>
      <c r="H101" s="88"/>
      <c r="I101" s="84"/>
      <c r="J101" s="84"/>
      <c r="K101" s="85"/>
      <c r="L101" s="86"/>
      <c r="M101" s="87"/>
    </row>
    <row r="102" spans="1:13" s="76" customFormat="1">
      <c r="A102" s="58" t="s">
        <v>464</v>
      </c>
      <c r="B102" s="56" t="s">
        <v>490</v>
      </c>
      <c r="C102" s="81">
        <v>43466</v>
      </c>
      <c r="D102" s="82">
        <v>3</v>
      </c>
      <c r="E102" s="88"/>
      <c r="F102" s="91"/>
      <c r="G102" s="91"/>
      <c r="H102" s="88"/>
      <c r="I102" s="84"/>
      <c r="J102" s="84"/>
      <c r="K102" s="85"/>
      <c r="L102" s="86"/>
      <c r="M102" s="87"/>
    </row>
    <row r="103" spans="1:13" s="76" customFormat="1">
      <c r="A103" s="58" t="s">
        <v>465</v>
      </c>
      <c r="B103" s="56" t="s">
        <v>491</v>
      </c>
      <c r="C103" s="81">
        <v>43466</v>
      </c>
      <c r="D103" s="82">
        <v>3</v>
      </c>
      <c r="E103" s="88"/>
      <c r="F103" s="91"/>
      <c r="G103" s="91"/>
      <c r="H103" s="88"/>
      <c r="I103" s="84"/>
      <c r="J103" s="84"/>
      <c r="K103" s="85"/>
      <c r="L103" s="86"/>
      <c r="M103" s="87"/>
    </row>
    <row r="104" spans="1:13" s="76" customFormat="1">
      <c r="A104" s="58" t="s">
        <v>466</v>
      </c>
      <c r="B104" s="56" t="s">
        <v>492</v>
      </c>
      <c r="C104" s="81">
        <v>43466</v>
      </c>
      <c r="D104" s="82">
        <v>3</v>
      </c>
      <c r="E104" s="88"/>
      <c r="F104" s="91"/>
      <c r="G104" s="91"/>
      <c r="H104" s="88"/>
      <c r="I104" s="84"/>
      <c r="J104" s="84"/>
      <c r="K104" s="85"/>
      <c r="L104" s="86"/>
      <c r="M104" s="87"/>
    </row>
    <row r="105" spans="1:13" s="76" customFormat="1">
      <c r="A105" s="58" t="s">
        <v>467</v>
      </c>
      <c r="B105" s="56" t="s">
        <v>493</v>
      </c>
      <c r="C105" s="81">
        <v>43466</v>
      </c>
      <c r="D105" s="82">
        <v>3</v>
      </c>
      <c r="E105" s="88"/>
      <c r="F105" s="91"/>
      <c r="G105" s="91"/>
      <c r="H105" s="88"/>
      <c r="I105" s="84"/>
      <c r="J105" s="84"/>
      <c r="K105" s="85"/>
      <c r="L105" s="86"/>
      <c r="M105" s="87"/>
    </row>
    <row r="106" spans="1:13" s="76" customFormat="1">
      <c r="A106" s="58" t="s">
        <v>468</v>
      </c>
      <c r="B106" s="56" t="s">
        <v>494</v>
      </c>
      <c r="C106" s="81">
        <v>43466</v>
      </c>
      <c r="D106" s="82">
        <v>3</v>
      </c>
      <c r="E106" s="88"/>
      <c r="F106" s="91"/>
      <c r="G106" s="91"/>
      <c r="H106" s="88"/>
      <c r="I106" s="84"/>
      <c r="J106" s="84"/>
      <c r="K106" s="85"/>
      <c r="L106" s="86"/>
      <c r="M106" s="87"/>
    </row>
    <row r="107" spans="1:13" s="76" customFormat="1">
      <c r="A107" s="58" t="s">
        <v>469</v>
      </c>
      <c r="B107" s="56" t="s">
        <v>494</v>
      </c>
      <c r="C107" s="81">
        <v>43466</v>
      </c>
      <c r="D107" s="82">
        <v>3</v>
      </c>
      <c r="E107" s="88"/>
      <c r="F107" s="91"/>
      <c r="G107" s="91"/>
      <c r="H107" s="88"/>
      <c r="I107" s="84"/>
      <c r="J107" s="84"/>
      <c r="K107" s="85"/>
      <c r="L107" s="86"/>
      <c r="M107" s="87"/>
    </row>
    <row r="108" spans="1:13" s="76" customFormat="1">
      <c r="A108" s="58" t="s">
        <v>470</v>
      </c>
      <c r="B108" s="56" t="s">
        <v>495</v>
      </c>
      <c r="C108" s="81">
        <v>43466</v>
      </c>
      <c r="D108" s="82">
        <v>3</v>
      </c>
      <c r="E108" s="88"/>
      <c r="F108" s="91"/>
      <c r="G108" s="91"/>
      <c r="H108" s="88"/>
      <c r="I108" s="84"/>
      <c r="J108" s="84"/>
      <c r="K108" s="85"/>
      <c r="L108" s="86"/>
      <c r="M108" s="87"/>
    </row>
    <row r="109" spans="1:13" s="76" customFormat="1">
      <c r="A109" s="58" t="s">
        <v>471</v>
      </c>
      <c r="B109" s="56" t="s">
        <v>496</v>
      </c>
      <c r="C109" s="81">
        <v>43466</v>
      </c>
      <c r="D109" s="82">
        <v>3</v>
      </c>
      <c r="E109" s="88"/>
      <c r="F109" s="91"/>
      <c r="G109" s="91"/>
      <c r="H109" s="88"/>
      <c r="I109" s="84"/>
      <c r="J109" s="84"/>
      <c r="K109" s="85"/>
      <c r="L109" s="86"/>
      <c r="M109" s="87"/>
    </row>
    <row r="110" spans="1:13" s="76" customFormat="1">
      <c r="A110" s="58" t="s">
        <v>472</v>
      </c>
      <c r="B110" s="56" t="s">
        <v>497</v>
      </c>
      <c r="C110" s="81">
        <v>43466</v>
      </c>
      <c r="D110" s="82">
        <v>3</v>
      </c>
      <c r="E110" s="88"/>
      <c r="F110" s="91"/>
      <c r="G110" s="91"/>
      <c r="H110" s="88"/>
      <c r="I110" s="84"/>
      <c r="J110" s="84"/>
      <c r="K110" s="85"/>
      <c r="L110" s="86"/>
      <c r="M110" s="87"/>
    </row>
    <row r="111" spans="1:13" s="76" customFormat="1">
      <c r="A111" s="58" t="s">
        <v>473</v>
      </c>
      <c r="B111" s="56" t="s">
        <v>498</v>
      </c>
      <c r="C111" s="81">
        <v>43466</v>
      </c>
      <c r="D111" s="82">
        <v>3</v>
      </c>
      <c r="E111" s="88"/>
      <c r="F111" s="91"/>
      <c r="G111" s="91"/>
      <c r="H111" s="88"/>
      <c r="I111" s="84"/>
      <c r="J111" s="84"/>
      <c r="K111" s="85"/>
      <c r="L111" s="86"/>
      <c r="M111" s="87"/>
    </row>
    <row r="112" spans="1:13" s="76" customFormat="1">
      <c r="A112" s="58" t="s">
        <v>474</v>
      </c>
      <c r="B112" s="56" t="s">
        <v>499</v>
      </c>
      <c r="C112" s="81">
        <v>43466</v>
      </c>
      <c r="D112" s="82">
        <v>3</v>
      </c>
      <c r="E112" s="88"/>
      <c r="F112" s="91"/>
      <c r="G112" s="91"/>
      <c r="H112" s="88"/>
      <c r="I112" s="84"/>
      <c r="J112" s="84"/>
      <c r="K112" s="85"/>
      <c r="L112" s="86"/>
      <c r="M112" s="87"/>
    </row>
    <row r="113" spans="1:13" s="76" customFormat="1">
      <c r="A113" s="58" t="s">
        <v>475</v>
      </c>
      <c r="B113" s="56" t="s">
        <v>500</v>
      </c>
      <c r="C113" s="81">
        <v>43466</v>
      </c>
      <c r="D113" s="82">
        <v>3</v>
      </c>
      <c r="E113" s="88"/>
      <c r="F113" s="91"/>
      <c r="G113" s="91"/>
      <c r="H113" s="88"/>
      <c r="I113" s="84"/>
      <c r="J113" s="84"/>
      <c r="K113" s="85"/>
      <c r="L113" s="86"/>
      <c r="M113" s="87"/>
    </row>
    <row r="114" spans="1:13" s="76" customFormat="1">
      <c r="A114" s="58" t="s">
        <v>476</v>
      </c>
      <c r="B114" s="56" t="s">
        <v>501</v>
      </c>
      <c r="C114" s="81">
        <v>43466</v>
      </c>
      <c r="D114" s="82">
        <v>3</v>
      </c>
      <c r="E114" s="88"/>
      <c r="F114" s="91"/>
      <c r="G114" s="91"/>
      <c r="H114" s="88"/>
      <c r="I114" s="84"/>
      <c r="J114" s="84"/>
      <c r="K114" s="85"/>
      <c r="L114" s="86"/>
      <c r="M114" s="87"/>
    </row>
    <row r="115" spans="1:13" s="76" customFormat="1">
      <c r="A115" s="58" t="s">
        <v>477</v>
      </c>
      <c r="B115" s="56" t="s">
        <v>502</v>
      </c>
      <c r="C115" s="81">
        <v>43466</v>
      </c>
      <c r="D115" s="82">
        <v>3</v>
      </c>
      <c r="E115" s="88"/>
      <c r="F115" s="88"/>
      <c r="G115" s="88"/>
      <c r="H115" s="84"/>
      <c r="I115" s="88"/>
      <c r="J115" s="88"/>
      <c r="K115" s="85"/>
      <c r="L115" s="86"/>
      <c r="M115" s="87"/>
    </row>
    <row r="116" spans="1:13" s="76" customFormat="1">
      <c r="A116" s="58" t="s">
        <v>478</v>
      </c>
      <c r="B116" s="56" t="s">
        <v>503</v>
      </c>
      <c r="C116" s="81">
        <v>43466</v>
      </c>
      <c r="D116" s="82">
        <v>3</v>
      </c>
      <c r="E116" s="88"/>
      <c r="F116" s="88"/>
      <c r="G116" s="88"/>
      <c r="H116" s="84"/>
      <c r="I116" s="88"/>
      <c r="J116" s="88"/>
      <c r="K116" s="85"/>
      <c r="L116" s="86"/>
      <c r="M116" s="87"/>
    </row>
    <row r="117" spans="1:13" s="76" customFormat="1">
      <c r="A117" s="58" t="s">
        <v>479</v>
      </c>
      <c r="B117" s="56" t="s">
        <v>504</v>
      </c>
      <c r="C117" s="81">
        <v>43466</v>
      </c>
      <c r="D117" s="82">
        <v>3</v>
      </c>
      <c r="E117" s="88"/>
      <c r="F117" s="88"/>
      <c r="G117" s="88"/>
      <c r="H117" s="93"/>
      <c r="I117" s="88"/>
      <c r="J117" s="88"/>
      <c r="K117" s="86"/>
      <c r="L117" s="86"/>
      <c r="M117" s="87"/>
    </row>
    <row r="118" spans="1:13" s="76" customFormat="1">
      <c r="A118" s="58" t="s">
        <v>505</v>
      </c>
      <c r="B118" s="56" t="s">
        <v>518</v>
      </c>
      <c r="C118" s="81">
        <v>43466</v>
      </c>
      <c r="D118" s="82">
        <v>3</v>
      </c>
      <c r="E118" s="88"/>
      <c r="F118" s="84"/>
      <c r="G118" s="84"/>
      <c r="H118" s="88"/>
      <c r="I118" s="84"/>
      <c r="J118" s="84"/>
      <c r="K118" s="94"/>
      <c r="L118" s="86"/>
      <c r="M118" s="87"/>
    </row>
    <row r="119" spans="1:13">
      <c r="A119" s="58" t="s">
        <v>506</v>
      </c>
      <c r="B119" s="56" t="s">
        <v>519</v>
      </c>
      <c r="C119" s="81">
        <v>43466</v>
      </c>
      <c r="D119" s="82">
        <v>3</v>
      </c>
      <c r="E119" s="88"/>
      <c r="F119" s="88"/>
      <c r="G119" s="88"/>
      <c r="H119" s="88"/>
      <c r="I119" s="88"/>
      <c r="J119" s="88"/>
      <c r="K119" s="95"/>
      <c r="L119" s="86"/>
      <c r="M119" s="87"/>
    </row>
    <row r="120" spans="1:13" s="63" customFormat="1">
      <c r="A120" s="58" t="s">
        <v>507</v>
      </c>
      <c r="B120" s="56" t="s">
        <v>519</v>
      </c>
      <c r="C120" s="81">
        <v>43466</v>
      </c>
      <c r="D120" s="82">
        <v>3</v>
      </c>
      <c r="E120" s="88"/>
      <c r="F120" s="96"/>
      <c r="G120" s="96"/>
      <c r="H120" s="88"/>
      <c r="I120" s="96"/>
      <c r="J120" s="96"/>
      <c r="K120" s="97"/>
      <c r="L120" s="86"/>
      <c r="M120" s="87"/>
    </row>
    <row r="121" spans="1:13">
      <c r="A121" s="58" t="s">
        <v>508</v>
      </c>
      <c r="B121" s="56" t="s">
        <v>520</v>
      </c>
      <c r="C121" s="81">
        <v>43466</v>
      </c>
      <c r="D121" s="82">
        <v>3</v>
      </c>
      <c r="E121" s="88"/>
      <c r="F121" s="88"/>
      <c r="G121" s="88"/>
      <c r="H121" s="88"/>
      <c r="I121" s="88"/>
      <c r="J121" s="88"/>
      <c r="K121" s="95"/>
      <c r="L121" s="86"/>
      <c r="M121" s="87"/>
    </row>
    <row r="122" spans="1:13">
      <c r="A122" s="58" t="s">
        <v>509</v>
      </c>
      <c r="B122" s="56" t="s">
        <v>521</v>
      </c>
      <c r="C122" s="81">
        <v>43466</v>
      </c>
      <c r="D122" s="82">
        <v>3</v>
      </c>
      <c r="E122" s="88"/>
      <c r="F122" s="84"/>
      <c r="G122" s="88"/>
      <c r="H122" s="88"/>
      <c r="I122" s="88"/>
      <c r="J122" s="88"/>
      <c r="K122" s="95"/>
      <c r="L122" s="86"/>
      <c r="M122" s="87"/>
    </row>
    <row r="123" spans="1:13" s="76" customFormat="1">
      <c r="A123" s="58" t="s">
        <v>510</v>
      </c>
      <c r="B123" s="56" t="s">
        <v>522</v>
      </c>
      <c r="C123" s="81">
        <v>43466</v>
      </c>
      <c r="D123" s="82">
        <v>3</v>
      </c>
      <c r="E123" s="88"/>
      <c r="F123" s="91"/>
      <c r="G123" s="91"/>
      <c r="H123" s="88"/>
      <c r="I123" s="84"/>
      <c r="J123" s="84"/>
      <c r="K123" s="85"/>
      <c r="L123" s="86"/>
      <c r="M123" s="87"/>
    </row>
    <row r="124" spans="1:13" s="76" customFormat="1">
      <c r="A124" s="58" t="s">
        <v>511</v>
      </c>
      <c r="B124" s="56" t="s">
        <v>523</v>
      </c>
      <c r="C124" s="81">
        <v>43466</v>
      </c>
      <c r="D124" s="82">
        <v>3</v>
      </c>
      <c r="E124" s="88"/>
      <c r="F124" s="91"/>
      <c r="G124" s="91"/>
      <c r="H124" s="88"/>
      <c r="I124" s="84"/>
      <c r="J124" s="84"/>
      <c r="K124" s="85"/>
      <c r="L124" s="86"/>
      <c r="M124" s="87"/>
    </row>
    <row r="125" spans="1:13" s="76" customFormat="1">
      <c r="A125" s="58" t="s">
        <v>512</v>
      </c>
      <c r="B125" s="56" t="s">
        <v>524</v>
      </c>
      <c r="C125" s="81">
        <v>43466</v>
      </c>
      <c r="D125" s="82">
        <v>3</v>
      </c>
      <c r="E125" s="88"/>
      <c r="F125" s="91"/>
      <c r="G125" s="91"/>
      <c r="H125" s="84"/>
      <c r="I125" s="84"/>
      <c r="J125" s="84"/>
      <c r="K125" s="85"/>
      <c r="L125" s="86"/>
      <c r="M125" s="87"/>
    </row>
    <row r="126" spans="1:13" s="76" customFormat="1">
      <c r="A126" s="58" t="s">
        <v>513</v>
      </c>
      <c r="B126" s="56" t="s">
        <v>525</v>
      </c>
      <c r="C126" s="81">
        <v>43466</v>
      </c>
      <c r="D126" s="82">
        <v>3</v>
      </c>
      <c r="E126" s="88"/>
      <c r="F126" s="91"/>
      <c r="G126" s="91"/>
      <c r="H126" s="84"/>
      <c r="I126" s="84"/>
      <c r="J126" s="84"/>
      <c r="K126" s="85"/>
      <c r="L126" s="86"/>
      <c r="M126" s="87"/>
    </row>
    <row r="127" spans="1:13">
      <c r="A127" s="58" t="s">
        <v>514</v>
      </c>
      <c r="B127" s="56" t="s">
        <v>526</v>
      </c>
      <c r="C127" s="81">
        <v>43466</v>
      </c>
      <c r="D127" s="82">
        <v>3</v>
      </c>
      <c r="E127" s="88"/>
      <c r="F127" s="88"/>
      <c r="G127" s="88"/>
      <c r="H127" s="88"/>
      <c r="I127" s="88"/>
      <c r="J127" s="88"/>
      <c r="K127" s="98"/>
      <c r="L127" s="99"/>
      <c r="M127" s="99"/>
    </row>
    <row r="128" spans="1:13">
      <c r="A128" s="58" t="s">
        <v>515</v>
      </c>
      <c r="B128" s="56" t="s">
        <v>527</v>
      </c>
      <c r="C128" s="81">
        <v>43466</v>
      </c>
      <c r="D128" s="82">
        <v>3</v>
      </c>
      <c r="E128" s="88"/>
      <c r="F128" s="88"/>
      <c r="G128" s="88"/>
      <c r="H128" s="88"/>
      <c r="I128" s="88"/>
      <c r="J128" s="88"/>
      <c r="K128" s="98"/>
      <c r="L128" s="99"/>
      <c r="M128" s="99"/>
    </row>
    <row r="129" spans="1:13">
      <c r="A129" s="58" t="s">
        <v>516</v>
      </c>
      <c r="B129" s="56" t="s">
        <v>528</v>
      </c>
      <c r="C129" s="81">
        <v>43466</v>
      </c>
      <c r="D129" s="82">
        <v>3</v>
      </c>
      <c r="E129" s="88"/>
      <c r="F129" s="88"/>
      <c r="G129" s="88"/>
      <c r="H129" s="88"/>
      <c r="I129" s="88"/>
      <c r="J129" s="88"/>
      <c r="K129" s="98"/>
      <c r="L129" s="99"/>
      <c r="M129" s="99"/>
    </row>
    <row r="130" spans="1:13">
      <c r="A130" s="58" t="s">
        <v>517</v>
      </c>
      <c r="B130" s="56" t="s">
        <v>529</v>
      </c>
      <c r="C130" s="81">
        <v>43466</v>
      </c>
      <c r="D130" s="82">
        <v>3</v>
      </c>
      <c r="E130" s="88"/>
      <c r="F130" s="88"/>
      <c r="G130" s="88"/>
      <c r="H130" s="88"/>
      <c r="I130" s="88"/>
      <c r="J130" s="88"/>
      <c r="K130" s="98"/>
      <c r="L130" s="99"/>
      <c r="M130" s="99"/>
    </row>
    <row r="132" spans="1:13">
      <c r="C132" s="10" t="s">
        <v>91</v>
      </c>
      <c r="D132" s="23"/>
      <c r="E132" s="12"/>
      <c r="F132" s="13"/>
      <c r="K132" s="10" t="s">
        <v>7</v>
      </c>
    </row>
    <row r="133" spans="1:13">
      <c r="C133" s="24" t="s">
        <v>74</v>
      </c>
      <c r="D133" s="25" t="s">
        <v>79</v>
      </c>
      <c r="E133" s="26"/>
      <c r="F133" s="26"/>
      <c r="G133" s="27"/>
      <c r="H133" s="27"/>
      <c r="I133" s="28"/>
      <c r="J133" s="29"/>
      <c r="K133" s="17" t="s">
        <v>31</v>
      </c>
      <c r="L133" s="4" t="s">
        <v>48</v>
      </c>
      <c r="M133" s="30"/>
    </row>
    <row r="134" spans="1:13">
      <c r="C134" s="24" t="s">
        <v>15</v>
      </c>
      <c r="D134" s="25" t="s">
        <v>4</v>
      </c>
      <c r="E134" s="26"/>
      <c r="F134" s="26"/>
      <c r="G134" s="31"/>
      <c r="H134" s="32"/>
      <c r="I134" s="33"/>
      <c r="K134" s="17" t="s">
        <v>16</v>
      </c>
      <c r="L134" s="4" t="s">
        <v>49</v>
      </c>
      <c r="M134" s="30"/>
    </row>
    <row r="135" spans="1:13">
      <c r="C135" s="24" t="s">
        <v>16</v>
      </c>
      <c r="D135" s="25" t="s">
        <v>75</v>
      </c>
      <c r="E135" s="26"/>
      <c r="F135" s="26"/>
      <c r="G135" s="31"/>
      <c r="H135" s="32"/>
      <c r="I135" s="33"/>
      <c r="K135" s="17" t="s">
        <v>45</v>
      </c>
      <c r="L135" s="17" t="s">
        <v>50</v>
      </c>
      <c r="M135" s="34"/>
    </row>
    <row r="136" spans="1:13">
      <c r="C136" s="24" t="s">
        <v>0</v>
      </c>
      <c r="D136" s="25" t="s">
        <v>20</v>
      </c>
      <c r="E136" s="26"/>
      <c r="F136" s="26"/>
      <c r="G136" s="31"/>
      <c r="H136" s="32"/>
      <c r="I136" s="33"/>
      <c r="K136" s="17" t="s">
        <v>34</v>
      </c>
      <c r="L136" s="17" t="s">
        <v>51</v>
      </c>
      <c r="M136" s="34"/>
    </row>
    <row r="137" spans="1:13">
      <c r="C137" s="24" t="s">
        <v>5</v>
      </c>
      <c r="D137" s="25" t="s">
        <v>21</v>
      </c>
      <c r="E137" s="26"/>
      <c r="F137" s="26"/>
      <c r="G137" s="31"/>
      <c r="H137" s="32"/>
      <c r="I137" s="33"/>
      <c r="K137" s="17" t="s">
        <v>62</v>
      </c>
      <c r="L137" s="17" t="s">
        <v>52</v>
      </c>
      <c r="M137" s="34"/>
    </row>
    <row r="138" spans="1:13">
      <c r="C138" s="24" t="s">
        <v>17</v>
      </c>
      <c r="D138" s="25" t="s">
        <v>22</v>
      </c>
      <c r="E138" s="26"/>
      <c r="F138" s="26"/>
      <c r="G138" s="31"/>
      <c r="H138" s="32"/>
      <c r="I138" s="33"/>
      <c r="K138" s="17" t="s">
        <v>61</v>
      </c>
      <c r="L138" s="17" t="s">
        <v>53</v>
      </c>
      <c r="M138" s="34"/>
    </row>
    <row r="139" spans="1:13">
      <c r="C139" s="24" t="s">
        <v>73</v>
      </c>
      <c r="D139" s="25" t="s">
        <v>69</v>
      </c>
      <c r="E139" s="26"/>
      <c r="F139" s="26"/>
      <c r="G139" s="31"/>
      <c r="H139" s="32"/>
      <c r="I139" s="33"/>
      <c r="K139" s="17" t="s">
        <v>6</v>
      </c>
      <c r="L139" s="17" t="s">
        <v>54</v>
      </c>
      <c r="M139" s="34"/>
    </row>
    <row r="140" spans="1:13">
      <c r="C140" s="24" t="s">
        <v>12</v>
      </c>
      <c r="D140" s="25" t="s">
        <v>70</v>
      </c>
      <c r="E140" s="26"/>
      <c r="F140" s="26"/>
      <c r="G140" s="31"/>
      <c r="H140" s="32"/>
      <c r="I140" s="33"/>
      <c r="K140" s="17" t="s">
        <v>32</v>
      </c>
      <c r="L140" s="17" t="s">
        <v>55</v>
      </c>
      <c r="M140" s="34"/>
    </row>
    <row r="141" spans="1:13">
      <c r="C141" s="24" t="s">
        <v>78</v>
      </c>
      <c r="D141" s="25" t="s">
        <v>77</v>
      </c>
      <c r="E141" s="26"/>
      <c r="F141" s="26"/>
      <c r="G141" s="31"/>
      <c r="H141" s="32"/>
      <c r="I141" s="33"/>
      <c r="K141" s="17" t="s">
        <v>71</v>
      </c>
      <c r="L141" s="17" t="s">
        <v>56</v>
      </c>
      <c r="M141" s="34"/>
    </row>
    <row r="142" spans="1:13">
      <c r="C142" s="24" t="s">
        <v>14</v>
      </c>
      <c r="D142" s="25" t="s">
        <v>9</v>
      </c>
      <c r="E142" s="26"/>
      <c r="F142" s="26"/>
      <c r="G142" s="31"/>
      <c r="H142" s="32"/>
      <c r="I142" s="33"/>
      <c r="K142" s="17" t="s">
        <v>63</v>
      </c>
      <c r="L142" s="17" t="s">
        <v>57</v>
      </c>
      <c r="M142" s="34"/>
    </row>
    <row r="143" spans="1:13">
      <c r="C143" s="24" t="s">
        <v>3</v>
      </c>
      <c r="D143" s="25" t="s">
        <v>8</v>
      </c>
      <c r="E143" s="26"/>
      <c r="F143" s="26"/>
      <c r="G143" s="31"/>
      <c r="H143" s="32"/>
      <c r="I143" s="33"/>
      <c r="K143" s="17" t="s">
        <v>30</v>
      </c>
      <c r="L143" s="17" t="s">
        <v>58</v>
      </c>
      <c r="M143" s="34"/>
    </row>
    <row r="144" spans="1:13">
      <c r="C144" s="24">
        <v>0.01</v>
      </c>
      <c r="D144" s="25" t="s">
        <v>94</v>
      </c>
      <c r="E144" s="26"/>
      <c r="F144" s="26"/>
      <c r="G144" s="31"/>
      <c r="H144" s="32"/>
      <c r="I144" s="33"/>
      <c r="K144" s="17" t="s">
        <v>33</v>
      </c>
      <c r="L144" s="17" t="s">
        <v>59</v>
      </c>
      <c r="M144" s="34"/>
    </row>
    <row r="145" spans="3:13">
      <c r="C145" s="19"/>
      <c r="D145" s="19"/>
      <c r="E145" s="19"/>
      <c r="F145" s="19"/>
      <c r="G145" s="19"/>
      <c r="H145" s="35"/>
      <c r="I145" s="19"/>
      <c r="J145" s="36"/>
      <c r="K145" s="17" t="s">
        <v>64</v>
      </c>
      <c r="L145" s="17" t="s">
        <v>60</v>
      </c>
      <c r="M145" s="34"/>
    </row>
    <row r="146" spans="3:13">
      <c r="E146" s="37"/>
      <c r="F146" s="37"/>
      <c r="G146" s="37"/>
      <c r="H146" s="38"/>
      <c r="I146" s="37"/>
      <c r="J146" s="39"/>
    </row>
    <row r="147" spans="3:13">
      <c r="F147" s="40" t="s">
        <v>46</v>
      </c>
      <c r="G147" s="19"/>
      <c r="H147" s="36"/>
      <c r="J147" s="20"/>
      <c r="K147" s="41"/>
      <c r="L147" s="42"/>
      <c r="M147" s="42"/>
    </row>
    <row r="148" spans="3:13" ht="30" customHeight="1">
      <c r="F148" s="17">
        <v>0</v>
      </c>
      <c r="G148" s="163" t="s">
        <v>18</v>
      </c>
      <c r="H148" s="165"/>
      <c r="I148" s="165"/>
      <c r="J148" s="165"/>
      <c r="K148" s="165"/>
      <c r="L148" s="165"/>
      <c r="M148" s="164"/>
    </row>
    <row r="149" spans="3:13" ht="30" customHeight="1">
      <c r="F149" s="17">
        <v>1</v>
      </c>
      <c r="G149" s="163" t="s">
        <v>65</v>
      </c>
      <c r="H149" s="165"/>
      <c r="I149" s="165"/>
      <c r="J149" s="165"/>
      <c r="K149" s="165"/>
      <c r="L149" s="165"/>
      <c r="M149" s="164"/>
    </row>
    <row r="150" spans="3:13" ht="30" customHeight="1">
      <c r="F150" s="17">
        <v>2</v>
      </c>
      <c r="G150" s="163" t="s">
        <v>39</v>
      </c>
      <c r="H150" s="165"/>
      <c r="I150" s="165"/>
      <c r="J150" s="165"/>
      <c r="K150" s="165"/>
      <c r="L150" s="165"/>
      <c r="M150" s="164"/>
    </row>
    <row r="151" spans="3:13" ht="30" customHeight="1">
      <c r="F151" s="17">
        <v>3</v>
      </c>
      <c r="G151" s="163" t="s">
        <v>68</v>
      </c>
      <c r="H151" s="165"/>
      <c r="I151" s="165"/>
      <c r="J151" s="165"/>
      <c r="K151" s="165"/>
      <c r="L151" s="165"/>
      <c r="M151" s="164"/>
    </row>
    <row r="152" spans="3:13" ht="30" customHeight="1">
      <c r="F152" s="17">
        <v>4</v>
      </c>
      <c r="G152" s="163" t="s">
        <v>66</v>
      </c>
      <c r="H152" s="165"/>
      <c r="I152" s="165"/>
      <c r="J152" s="165"/>
      <c r="K152" s="165"/>
      <c r="L152" s="165"/>
      <c r="M152" s="164"/>
    </row>
    <row r="153" spans="3:13" ht="30" customHeight="1">
      <c r="F153" s="17">
        <v>5</v>
      </c>
      <c r="G153" s="163" t="s">
        <v>67</v>
      </c>
      <c r="H153" s="165"/>
      <c r="I153" s="165"/>
      <c r="J153" s="165"/>
      <c r="K153" s="165"/>
      <c r="L153" s="165"/>
      <c r="M153" s="164"/>
    </row>
    <row r="154" spans="3:13" ht="30" customHeight="1">
      <c r="F154" s="17">
        <v>6</v>
      </c>
      <c r="G154" s="163" t="s">
        <v>24</v>
      </c>
      <c r="H154" s="165"/>
      <c r="I154" s="165"/>
      <c r="J154" s="165"/>
      <c r="K154" s="165"/>
      <c r="L154" s="165"/>
      <c r="M154" s="164"/>
    </row>
    <row r="155" spans="3:13" ht="30" customHeight="1">
      <c r="F155" s="17">
        <v>7</v>
      </c>
      <c r="G155" s="163" t="s">
        <v>80</v>
      </c>
      <c r="H155" s="165"/>
      <c r="I155" s="165"/>
      <c r="J155" s="165"/>
      <c r="K155" s="165"/>
      <c r="L155" s="165"/>
      <c r="M155" s="164"/>
    </row>
    <row r="156" spans="3:13" ht="30" customHeight="1">
      <c r="F156" s="17">
        <v>8</v>
      </c>
      <c r="G156" s="163" t="s">
        <v>19</v>
      </c>
      <c r="H156" s="165"/>
      <c r="I156" s="165"/>
      <c r="J156" s="165"/>
      <c r="K156" s="165"/>
      <c r="L156" s="165"/>
      <c r="M156" s="164"/>
    </row>
    <row r="157" spans="3:13" ht="30" customHeight="1">
      <c r="F157" s="17">
        <v>9</v>
      </c>
      <c r="G157" s="163" t="s">
        <v>35</v>
      </c>
      <c r="H157" s="165"/>
      <c r="I157" s="165"/>
      <c r="J157" s="165"/>
      <c r="K157" s="165"/>
      <c r="L157" s="165"/>
      <c r="M157" s="164"/>
    </row>
    <row r="158" spans="3:13" ht="30" customHeight="1">
      <c r="F158" s="20"/>
      <c r="G158" s="17" t="s">
        <v>42</v>
      </c>
      <c r="H158" s="163" t="s">
        <v>614</v>
      </c>
      <c r="I158" s="164"/>
      <c r="J158" s="17" t="s">
        <v>43</v>
      </c>
      <c r="K158" s="163" t="s">
        <v>28</v>
      </c>
      <c r="L158" s="164"/>
      <c r="M158" s="43"/>
    </row>
    <row r="159" spans="3:13" ht="30" customHeight="1">
      <c r="F159" s="20"/>
      <c r="G159" s="17" t="s">
        <v>10</v>
      </c>
      <c r="H159" s="163" t="s">
        <v>26</v>
      </c>
      <c r="I159" s="164"/>
      <c r="J159" s="17" t="s">
        <v>44</v>
      </c>
      <c r="K159" s="163" t="s">
        <v>29</v>
      </c>
      <c r="L159" s="164"/>
      <c r="M159" s="43"/>
    </row>
    <row r="160" spans="3:13" ht="30" customHeight="1">
      <c r="F160" s="20"/>
      <c r="G160" s="17" t="s">
        <v>11</v>
      </c>
      <c r="H160" s="163" t="s">
        <v>47</v>
      </c>
      <c r="I160" s="164"/>
      <c r="J160" s="17" t="s">
        <v>23</v>
      </c>
      <c r="K160" s="163" t="s">
        <v>76</v>
      </c>
      <c r="L160" s="164"/>
      <c r="M160" s="43"/>
    </row>
    <row r="161" spans="2:13" ht="45" customHeight="1">
      <c r="F161" s="20"/>
      <c r="G161" s="17" t="s">
        <v>13</v>
      </c>
      <c r="H161" s="163" t="s">
        <v>27</v>
      </c>
      <c r="I161" s="164"/>
      <c r="J161" s="49" t="s">
        <v>92</v>
      </c>
      <c r="K161" s="163" t="s">
        <v>93</v>
      </c>
      <c r="L161" s="164"/>
      <c r="M161" s="43"/>
    </row>
    <row r="162" spans="2:13">
      <c r="B162" s="10"/>
      <c r="C162" s="11"/>
      <c r="D162" s="12"/>
      <c r="E162" s="13"/>
      <c r="F162" s="14"/>
      <c r="G162" s="14"/>
    </row>
  </sheetData>
  <autoFilter ref="A9:M121" xr:uid="{00000000-0009-0000-0000-000001000000}"/>
  <sortState xmlns:xlrd2="http://schemas.microsoft.com/office/spreadsheetml/2017/richdata2" ref="A99:E115">
    <sortCondition ref="A99:A115"/>
  </sortState>
  <mergeCells count="18">
    <mergeCell ref="G148:M148"/>
    <mergeCell ref="G149:M149"/>
    <mergeCell ref="G150:M150"/>
    <mergeCell ref="G152:M152"/>
    <mergeCell ref="G153:M153"/>
    <mergeCell ref="G151:M151"/>
    <mergeCell ref="G154:M154"/>
    <mergeCell ref="G155:M155"/>
    <mergeCell ref="G156:M156"/>
    <mergeCell ref="G157:M157"/>
    <mergeCell ref="H158:I158"/>
    <mergeCell ref="K158:L158"/>
    <mergeCell ref="K159:L159"/>
    <mergeCell ref="H159:I159"/>
    <mergeCell ref="K161:L161"/>
    <mergeCell ref="K160:L160"/>
    <mergeCell ref="H160:I160"/>
    <mergeCell ref="H161:I161"/>
  </mergeCells>
  <phoneticPr fontId="1" type="noConversion"/>
  <conditionalFormatting sqref="A92:A93">
    <cfRule type="duplicateValues" dxfId="11" priority="2"/>
  </conditionalFormatting>
  <conditionalFormatting sqref="A94">
    <cfRule type="duplicateValues" dxfId="10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47:B53" xr:uid="{00000000-0002-0000-0100-000000000000}">
      <formula1>1</formula1>
      <formula2>30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1A1F-4143-4FF8-9D5F-0418D2C92DE9}">
  <dimension ref="A1:K28"/>
  <sheetViews>
    <sheetView workbookViewId="0">
      <selection activeCell="S16" sqref="S16"/>
    </sheetView>
  </sheetViews>
  <sheetFormatPr defaultRowHeight="12.75"/>
  <cols>
    <col min="2" max="2" width="27.28515625" bestFit="1" customWidth="1"/>
    <col min="5" max="5" width="11" customWidth="1"/>
    <col min="6" max="6" width="10" customWidth="1"/>
    <col min="7" max="7" width="11.28515625" customWidth="1"/>
    <col min="8" max="8" width="11.85546875" customWidth="1"/>
    <col min="9" max="9" width="10.42578125" customWidth="1"/>
    <col min="10" max="10" width="11.28515625" customWidth="1"/>
    <col min="11" max="11" width="14.7109375" customWidth="1"/>
  </cols>
  <sheetData>
    <row r="1" spans="1:11" ht="20.25">
      <c r="A1" s="54" t="s">
        <v>611</v>
      </c>
      <c r="B1" s="61"/>
      <c r="C1" s="21"/>
      <c r="D1" s="62"/>
      <c r="E1" s="100"/>
      <c r="F1" s="5"/>
      <c r="G1" s="22"/>
      <c r="H1" s="5"/>
      <c r="I1" s="64"/>
    </row>
    <row r="2" spans="1:11">
      <c r="A2" s="60"/>
      <c r="B2" s="61"/>
      <c r="C2" s="21"/>
      <c r="D2" s="62"/>
      <c r="E2" s="5"/>
      <c r="F2" s="5"/>
      <c r="G2" s="22"/>
      <c r="H2" s="5"/>
      <c r="I2" s="5"/>
    </row>
    <row r="3" spans="1:11" ht="20.25">
      <c r="A3" s="54" t="s">
        <v>615</v>
      </c>
      <c r="B3" s="61"/>
      <c r="C3" s="21"/>
      <c r="D3" s="62"/>
      <c r="E3" s="5"/>
      <c r="F3" s="5"/>
      <c r="G3" s="22"/>
      <c r="H3" s="5"/>
      <c r="I3" s="5"/>
    </row>
    <row r="4" spans="1:11">
      <c r="A4" s="20"/>
      <c r="B4" s="20"/>
      <c r="C4" s="21"/>
      <c r="D4" s="20"/>
      <c r="E4" s="5"/>
      <c r="F4" s="5"/>
      <c r="G4" s="22"/>
      <c r="H4" s="5"/>
      <c r="I4" s="5"/>
    </row>
    <row r="5" spans="1:11">
      <c r="A5" s="65"/>
      <c r="B5" s="65"/>
      <c r="C5" s="21"/>
      <c r="D5" s="1" t="s">
        <v>41</v>
      </c>
      <c r="E5" s="66"/>
      <c r="F5" s="66"/>
      <c r="G5" s="67"/>
      <c r="H5" s="66"/>
      <c r="I5" s="66"/>
    </row>
    <row r="6" spans="1:11">
      <c r="A6" s="65"/>
      <c r="B6" s="65" t="s">
        <v>632</v>
      </c>
      <c r="C6" s="21"/>
      <c r="D6" s="2" t="s">
        <v>88</v>
      </c>
      <c r="E6" s="66"/>
      <c r="F6" s="66"/>
      <c r="G6" s="67"/>
      <c r="H6" s="66"/>
      <c r="I6" s="66"/>
    </row>
    <row r="7" spans="1:11">
      <c r="A7" s="65"/>
      <c r="B7" s="65"/>
      <c r="C7" s="21"/>
      <c r="D7" s="2" t="s">
        <v>89</v>
      </c>
      <c r="E7" s="66"/>
      <c r="F7" s="66"/>
      <c r="G7" s="67"/>
      <c r="H7" s="66"/>
      <c r="I7" s="66"/>
    </row>
    <row r="8" spans="1:11">
      <c r="A8" s="65"/>
      <c r="B8" s="65"/>
      <c r="C8" s="21"/>
      <c r="D8" s="2" t="s">
        <v>40</v>
      </c>
      <c r="E8" s="66"/>
      <c r="F8" s="66"/>
      <c r="G8" s="67"/>
      <c r="H8" s="66"/>
      <c r="I8" s="66"/>
    </row>
    <row r="9" spans="1:11" ht="76.5">
      <c r="A9" s="55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84</v>
      </c>
      <c r="H9" s="16" t="s">
        <v>85</v>
      </c>
      <c r="I9" s="16" t="s">
        <v>86</v>
      </c>
      <c r="J9" s="46" t="s">
        <v>72</v>
      </c>
      <c r="K9" s="47" t="s">
        <v>25</v>
      </c>
    </row>
    <row r="10" spans="1:11">
      <c r="A10" s="107" t="s">
        <v>412</v>
      </c>
      <c r="B10" s="106" t="s">
        <v>423</v>
      </c>
      <c r="C10" s="81">
        <v>43466</v>
      </c>
      <c r="D10" s="82">
        <v>1</v>
      </c>
      <c r="E10" s="91"/>
      <c r="F10" s="92">
        <v>56.11</v>
      </c>
      <c r="G10" s="84"/>
      <c r="H10" s="84"/>
      <c r="I10" s="84"/>
      <c r="J10" s="85"/>
      <c r="K10" s="106">
        <v>0</v>
      </c>
    </row>
    <row r="11" spans="1:11">
      <c r="A11" s="107" t="s">
        <v>413</v>
      </c>
      <c r="B11" s="106" t="s">
        <v>424</v>
      </c>
      <c r="C11" s="81">
        <v>43466</v>
      </c>
      <c r="D11" s="82">
        <v>1</v>
      </c>
      <c r="E11" s="91"/>
      <c r="F11" s="162">
        <v>28.06</v>
      </c>
      <c r="G11" s="84"/>
      <c r="H11" s="84"/>
      <c r="I11" s="84"/>
      <c r="J11" s="85"/>
      <c r="K11" s="106">
        <v>0</v>
      </c>
    </row>
    <row r="12" spans="1:11">
      <c r="A12" s="107" t="s">
        <v>414</v>
      </c>
      <c r="B12" s="106" t="s">
        <v>425</v>
      </c>
      <c r="C12" s="81">
        <v>43466</v>
      </c>
      <c r="D12" s="82">
        <v>1</v>
      </c>
      <c r="E12" s="83"/>
      <c r="F12" s="162">
        <v>64.099999999999994</v>
      </c>
      <c r="G12" s="84"/>
      <c r="H12" s="84"/>
      <c r="I12" s="84"/>
      <c r="J12" s="85"/>
      <c r="K12" s="106">
        <v>0</v>
      </c>
    </row>
    <row r="13" spans="1:11">
      <c r="A13" s="107" t="s">
        <v>415</v>
      </c>
      <c r="B13" s="106" t="s">
        <v>426</v>
      </c>
      <c r="C13" s="81">
        <v>43466</v>
      </c>
      <c r="D13" s="82">
        <v>1</v>
      </c>
      <c r="E13" s="83"/>
      <c r="F13" s="162">
        <v>59.26</v>
      </c>
      <c r="G13" s="84"/>
      <c r="H13" s="84"/>
      <c r="I13" s="84"/>
      <c r="J13" s="85"/>
      <c r="K13" s="106">
        <v>0</v>
      </c>
    </row>
    <row r="14" spans="1:11">
      <c r="A14" s="107" t="s">
        <v>416</v>
      </c>
      <c r="B14" s="106" t="s">
        <v>427</v>
      </c>
      <c r="C14" s="81">
        <v>43466</v>
      </c>
      <c r="D14" s="82">
        <v>1</v>
      </c>
      <c r="E14" s="83"/>
      <c r="F14" s="162">
        <v>59.26</v>
      </c>
      <c r="G14" s="84"/>
      <c r="H14" s="84"/>
      <c r="I14" s="84"/>
      <c r="J14" s="85"/>
      <c r="K14" s="106">
        <v>0</v>
      </c>
    </row>
    <row r="15" spans="1:11">
      <c r="A15" s="107" t="s">
        <v>607</v>
      </c>
      <c r="B15" t="s">
        <v>608</v>
      </c>
      <c r="C15" s="81">
        <v>43466</v>
      </c>
      <c r="D15" s="82">
        <v>1</v>
      </c>
      <c r="E15" s="83"/>
      <c r="F15" s="162">
        <v>97.37</v>
      </c>
      <c r="G15" s="84"/>
      <c r="H15" s="84"/>
      <c r="I15" s="84"/>
      <c r="J15" s="85"/>
      <c r="K15" s="106"/>
    </row>
    <row r="16" spans="1:11" ht="16.5" customHeight="1">
      <c r="A16" s="150" t="s">
        <v>417</v>
      </c>
      <c r="B16" s="153" t="s">
        <v>428</v>
      </c>
      <c r="C16" s="151">
        <v>43466</v>
      </c>
      <c r="D16" s="82">
        <v>1</v>
      </c>
      <c r="E16" s="83"/>
      <c r="F16" s="93">
        <v>78.31</v>
      </c>
      <c r="G16" s="84"/>
      <c r="H16" s="84"/>
      <c r="I16" s="84"/>
      <c r="J16" s="85"/>
      <c r="K16" s="106">
        <v>0</v>
      </c>
    </row>
    <row r="17" spans="1:11" ht="41.25" customHeight="1">
      <c r="A17" s="152" t="s">
        <v>418</v>
      </c>
      <c r="B17" s="153" t="s">
        <v>429</v>
      </c>
      <c r="C17" s="151">
        <v>43466</v>
      </c>
      <c r="D17" s="82">
        <v>1</v>
      </c>
      <c r="E17" s="83"/>
      <c r="F17" s="93">
        <v>30.86</v>
      </c>
      <c r="G17" s="84"/>
      <c r="H17" s="84"/>
      <c r="I17" s="84"/>
      <c r="J17" s="85"/>
      <c r="K17" s="106"/>
    </row>
    <row r="18" spans="1:11" ht="37.5" customHeight="1">
      <c r="A18" s="152" t="s">
        <v>419</v>
      </c>
      <c r="B18" s="153" t="s">
        <v>430</v>
      </c>
      <c r="C18" s="151">
        <v>43466</v>
      </c>
      <c r="D18" s="82">
        <v>1</v>
      </c>
      <c r="E18" s="83"/>
      <c r="F18" s="93">
        <v>28.39</v>
      </c>
      <c r="G18" s="84"/>
      <c r="H18" s="84"/>
      <c r="I18" s="84"/>
      <c r="J18" s="85"/>
      <c r="K18" s="106"/>
    </row>
    <row r="19" spans="1:11" ht="41.25" customHeight="1">
      <c r="A19" s="152" t="s">
        <v>420</v>
      </c>
      <c r="B19" s="153" t="s">
        <v>431</v>
      </c>
      <c r="C19" s="151">
        <v>43466</v>
      </c>
      <c r="D19" s="82">
        <v>1</v>
      </c>
      <c r="E19" s="83"/>
      <c r="F19" s="91" t="s">
        <v>17</v>
      </c>
      <c r="G19" s="84"/>
      <c r="H19" s="84"/>
      <c r="I19" s="84"/>
      <c r="J19" s="85"/>
      <c r="K19" s="106"/>
    </row>
    <row r="20" spans="1:11" ht="37.5" customHeight="1">
      <c r="A20" s="152" t="s">
        <v>421</v>
      </c>
      <c r="B20" s="153" t="s">
        <v>432</v>
      </c>
      <c r="C20" s="151">
        <v>43466</v>
      </c>
      <c r="D20" s="82">
        <v>1</v>
      </c>
      <c r="E20" s="83"/>
      <c r="F20" s="91" t="s">
        <v>17</v>
      </c>
      <c r="G20" s="84"/>
      <c r="H20" s="84"/>
      <c r="I20" s="84"/>
      <c r="J20" s="85"/>
      <c r="K20" s="106"/>
    </row>
    <row r="21" spans="1:11" ht="40.5" customHeight="1">
      <c r="A21" s="152" t="s">
        <v>422</v>
      </c>
      <c r="B21" s="153" t="s">
        <v>433</v>
      </c>
      <c r="C21" s="151">
        <v>43466</v>
      </c>
      <c r="D21" s="82">
        <v>1</v>
      </c>
      <c r="E21" s="83"/>
      <c r="F21" s="91" t="s">
        <v>17</v>
      </c>
      <c r="G21" s="84"/>
      <c r="H21" s="84"/>
      <c r="I21" s="84"/>
      <c r="J21" s="85"/>
      <c r="K21" s="106"/>
    </row>
    <row r="22" spans="1:11">
      <c r="A22" s="58" t="s">
        <v>510</v>
      </c>
      <c r="B22" s="56" t="s">
        <v>522</v>
      </c>
      <c r="C22" s="81">
        <v>43466</v>
      </c>
      <c r="D22" s="82">
        <v>3</v>
      </c>
      <c r="E22" s="106"/>
      <c r="F22" s="106"/>
      <c r="G22" s="106"/>
      <c r="H22" s="106"/>
      <c r="I22" s="106"/>
      <c r="J22" s="106"/>
      <c r="K22" s="106"/>
    </row>
    <row r="23" spans="1:11">
      <c r="A23" s="58" t="s">
        <v>511</v>
      </c>
      <c r="B23" s="56" t="s">
        <v>523</v>
      </c>
      <c r="C23" s="81">
        <v>43466</v>
      </c>
      <c r="D23" s="82">
        <v>3</v>
      </c>
      <c r="E23" s="106"/>
      <c r="F23" s="106"/>
      <c r="G23" s="106"/>
      <c r="H23" s="106"/>
      <c r="I23" s="106"/>
      <c r="J23" s="106"/>
      <c r="K23" s="106"/>
    </row>
    <row r="24" spans="1:11">
      <c r="A24" s="58" t="s">
        <v>512</v>
      </c>
      <c r="B24" s="56" t="s">
        <v>524</v>
      </c>
      <c r="C24" s="81">
        <v>43466</v>
      </c>
      <c r="D24" s="82">
        <v>3</v>
      </c>
      <c r="E24" s="106"/>
      <c r="F24" s="106"/>
      <c r="G24" s="106"/>
      <c r="H24" s="106"/>
      <c r="I24" s="106"/>
      <c r="J24" s="106"/>
      <c r="K24" s="106"/>
    </row>
    <row r="25" spans="1:11">
      <c r="A25" s="58" t="s">
        <v>513</v>
      </c>
      <c r="B25" s="56" t="s">
        <v>525</v>
      </c>
      <c r="C25" s="81">
        <v>43466</v>
      </c>
      <c r="D25" s="82">
        <v>3</v>
      </c>
      <c r="E25" s="106"/>
      <c r="F25" s="106"/>
      <c r="G25" s="106"/>
      <c r="H25" s="106"/>
      <c r="I25" s="106"/>
      <c r="J25" s="106"/>
      <c r="K25" s="106"/>
    </row>
    <row r="26" spans="1:11">
      <c r="A26" s="58" t="s">
        <v>514</v>
      </c>
      <c r="B26" s="56" t="s">
        <v>526</v>
      </c>
      <c r="C26" s="81">
        <v>43466</v>
      </c>
      <c r="D26" s="82">
        <v>3</v>
      </c>
      <c r="E26" s="106"/>
      <c r="F26" s="106"/>
      <c r="G26" s="106"/>
      <c r="H26" s="106"/>
      <c r="I26" s="106"/>
      <c r="J26" s="106"/>
      <c r="K26" s="106"/>
    </row>
    <row r="27" spans="1:11">
      <c r="A27" s="58" t="s">
        <v>515</v>
      </c>
      <c r="B27" s="56" t="s">
        <v>527</v>
      </c>
      <c r="C27" s="81">
        <v>43466</v>
      </c>
      <c r="D27" s="82">
        <v>3</v>
      </c>
      <c r="E27" s="106"/>
      <c r="F27" s="106"/>
      <c r="G27" s="106"/>
      <c r="H27" s="106"/>
      <c r="I27" s="106"/>
      <c r="J27" s="106"/>
      <c r="K27" s="106"/>
    </row>
    <row r="28" spans="1:11">
      <c r="A28" s="58" t="s">
        <v>516</v>
      </c>
      <c r="B28" s="56" t="s">
        <v>528</v>
      </c>
      <c r="C28" s="81">
        <v>43466</v>
      </c>
      <c r="D28" s="82">
        <v>3</v>
      </c>
      <c r="E28" s="106"/>
      <c r="F28" s="106"/>
      <c r="G28" s="106"/>
      <c r="H28" s="106"/>
      <c r="I28" s="106"/>
      <c r="J28" s="106"/>
      <c r="K28" s="10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zoomScaleNormal="100" zoomScaleSheetLayoutView="100" workbookViewId="0">
      <selection activeCell="A10" sqref="A10:A60"/>
    </sheetView>
  </sheetViews>
  <sheetFormatPr defaultColWidth="9.140625" defaultRowHeight="12.75"/>
  <cols>
    <col min="1" max="1" width="12.7109375" style="59" customWidth="1"/>
    <col min="2" max="2" width="48.7109375" style="53" customWidth="1"/>
    <col min="3" max="6" width="12.7109375" style="53" customWidth="1"/>
    <col min="7" max="16384" width="9.140625" style="53"/>
  </cols>
  <sheetData>
    <row r="1" spans="1:6" ht="23.25">
      <c r="A1" s="54" t="s">
        <v>611</v>
      </c>
      <c r="B1" s="61"/>
      <c r="C1" s="21"/>
      <c r="D1" s="62"/>
      <c r="E1" s="103"/>
      <c r="F1" s="22"/>
    </row>
    <row r="2" spans="1:6">
      <c r="A2" s="60"/>
      <c r="B2" s="61"/>
      <c r="C2" s="21"/>
      <c r="D2" s="62"/>
      <c r="E2" s="5"/>
      <c r="F2" s="22"/>
    </row>
    <row r="3" spans="1:6" ht="20.25">
      <c r="A3" s="54" t="s">
        <v>95</v>
      </c>
      <c r="B3" s="61"/>
      <c r="C3" s="21"/>
      <c r="D3" s="62"/>
      <c r="E3" s="5"/>
      <c r="F3" s="22"/>
    </row>
    <row r="4" spans="1:6">
      <c r="A4" s="20"/>
      <c r="B4" s="20"/>
      <c r="C4" s="21"/>
      <c r="D4" s="20"/>
      <c r="E4" s="5"/>
      <c r="F4" s="22"/>
    </row>
    <row r="5" spans="1:6">
      <c r="A5" s="65"/>
      <c r="B5" s="65"/>
      <c r="C5" s="21"/>
      <c r="D5" s="1" t="s">
        <v>41</v>
      </c>
      <c r="E5" s="66"/>
      <c r="F5" s="67"/>
    </row>
    <row r="6" spans="1:6">
      <c r="A6" s="65"/>
      <c r="B6" s="65"/>
      <c r="C6" s="21"/>
      <c r="D6" s="2" t="s">
        <v>88</v>
      </c>
      <c r="E6" s="66"/>
      <c r="F6" s="67"/>
    </row>
    <row r="7" spans="1:6">
      <c r="A7" s="65"/>
      <c r="B7" s="65"/>
      <c r="C7" s="21"/>
      <c r="D7" s="2" t="s">
        <v>89</v>
      </c>
      <c r="E7" s="66"/>
      <c r="F7" s="67"/>
    </row>
    <row r="8" spans="1:6">
      <c r="A8" s="65"/>
      <c r="B8" s="65"/>
      <c r="C8" s="65"/>
      <c r="D8" s="2" t="s">
        <v>40</v>
      </c>
      <c r="E8" s="66"/>
      <c r="F8" s="67"/>
    </row>
    <row r="9" spans="1:6" ht="51">
      <c r="A9" s="18" t="s">
        <v>87</v>
      </c>
      <c r="B9" s="104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05" t="s">
        <v>100</v>
      </c>
      <c r="B10" s="106" t="s">
        <v>151</v>
      </c>
      <c r="C10" s="6">
        <v>43466</v>
      </c>
      <c r="D10" s="7">
        <v>1</v>
      </c>
      <c r="E10" s="161" t="s">
        <v>15</v>
      </c>
      <c r="F10" s="78"/>
    </row>
    <row r="11" spans="1:6">
      <c r="A11" s="105" t="s">
        <v>101</v>
      </c>
      <c r="B11" s="106" t="s">
        <v>152</v>
      </c>
      <c r="C11" s="6">
        <v>43466</v>
      </c>
      <c r="D11" s="7">
        <v>1</v>
      </c>
      <c r="E11" s="161" t="s">
        <v>15</v>
      </c>
      <c r="F11" s="78"/>
    </row>
    <row r="12" spans="1:6">
      <c r="A12" s="105" t="s">
        <v>102</v>
      </c>
      <c r="B12" s="106" t="s">
        <v>153</v>
      </c>
      <c r="C12" s="6">
        <v>43466</v>
      </c>
      <c r="D12" s="7">
        <v>1</v>
      </c>
      <c r="E12" s="161" t="s">
        <v>15</v>
      </c>
      <c r="F12" s="78"/>
    </row>
    <row r="13" spans="1:6">
      <c r="A13" s="105" t="s">
        <v>103</v>
      </c>
      <c r="B13" s="106" t="s">
        <v>154</v>
      </c>
      <c r="C13" s="6">
        <v>43466</v>
      </c>
      <c r="D13" s="7">
        <v>1</v>
      </c>
      <c r="E13" s="161" t="s">
        <v>15</v>
      </c>
      <c r="F13" s="78"/>
    </row>
    <row r="14" spans="1:6">
      <c r="A14" s="105" t="s">
        <v>104</v>
      </c>
      <c r="B14" s="106" t="s">
        <v>155</v>
      </c>
      <c r="C14" s="6">
        <v>43466</v>
      </c>
      <c r="D14" s="7">
        <v>1</v>
      </c>
      <c r="E14" s="161" t="s">
        <v>15</v>
      </c>
      <c r="F14" s="78"/>
    </row>
    <row r="15" spans="1:6">
      <c r="A15" s="105" t="s">
        <v>105</v>
      </c>
      <c r="B15" s="106" t="s">
        <v>156</v>
      </c>
      <c r="C15" s="6">
        <v>43466</v>
      </c>
      <c r="D15" s="7">
        <v>1</v>
      </c>
      <c r="E15" s="161" t="s">
        <v>15</v>
      </c>
      <c r="F15" s="78"/>
    </row>
    <row r="16" spans="1:6">
      <c r="A16" s="105" t="s">
        <v>106</v>
      </c>
      <c r="B16" s="106" t="s">
        <v>157</v>
      </c>
      <c r="C16" s="6">
        <v>43466</v>
      </c>
      <c r="D16" s="7">
        <v>1</v>
      </c>
      <c r="E16" s="161" t="s">
        <v>15</v>
      </c>
      <c r="F16" s="78"/>
    </row>
    <row r="17" spans="1:6">
      <c r="A17" s="105" t="s">
        <v>107</v>
      </c>
      <c r="B17" s="106" t="s">
        <v>158</v>
      </c>
      <c r="C17" s="6">
        <v>43466</v>
      </c>
      <c r="D17" s="7">
        <v>1</v>
      </c>
      <c r="E17" s="161" t="s">
        <v>15</v>
      </c>
      <c r="F17" s="78"/>
    </row>
    <row r="18" spans="1:6">
      <c r="A18" s="105" t="s">
        <v>108</v>
      </c>
      <c r="B18" s="106" t="s">
        <v>159</v>
      </c>
      <c r="C18" s="6">
        <v>43466</v>
      </c>
      <c r="D18" s="7">
        <v>1</v>
      </c>
      <c r="E18" s="161" t="s">
        <v>15</v>
      </c>
      <c r="F18" s="78"/>
    </row>
    <row r="19" spans="1:6">
      <c r="A19" s="105" t="s">
        <v>109</v>
      </c>
      <c r="B19" s="106" t="s">
        <v>160</v>
      </c>
      <c r="C19" s="6">
        <v>43466</v>
      </c>
      <c r="D19" s="7">
        <v>1</v>
      </c>
      <c r="E19" s="161" t="s">
        <v>15</v>
      </c>
      <c r="F19" s="78"/>
    </row>
    <row r="20" spans="1:6">
      <c r="A20" s="105" t="s">
        <v>110</v>
      </c>
      <c r="B20" s="106" t="s">
        <v>161</v>
      </c>
      <c r="C20" s="6">
        <v>43466</v>
      </c>
      <c r="D20" s="7">
        <v>1</v>
      </c>
      <c r="E20" s="161" t="s">
        <v>15</v>
      </c>
      <c r="F20" s="78"/>
    </row>
    <row r="21" spans="1:6">
      <c r="A21" s="105" t="s">
        <v>111</v>
      </c>
      <c r="B21" s="106" t="s">
        <v>162</v>
      </c>
      <c r="C21" s="6">
        <v>43466</v>
      </c>
      <c r="D21" s="7">
        <v>1</v>
      </c>
      <c r="E21" s="161" t="s">
        <v>15</v>
      </c>
      <c r="F21" s="78"/>
    </row>
    <row r="22" spans="1:6">
      <c r="A22" s="105" t="s">
        <v>112</v>
      </c>
      <c r="B22" s="106" t="s">
        <v>163</v>
      </c>
      <c r="C22" s="6">
        <v>43466</v>
      </c>
      <c r="D22" s="7">
        <v>1</v>
      </c>
      <c r="E22" s="161" t="s">
        <v>15</v>
      </c>
      <c r="F22" s="78"/>
    </row>
    <row r="23" spans="1:6">
      <c r="A23" s="105" t="s">
        <v>113</v>
      </c>
      <c r="B23" s="106" t="s">
        <v>164</v>
      </c>
      <c r="C23" s="6">
        <v>43466</v>
      </c>
      <c r="D23" s="7">
        <v>1</v>
      </c>
      <c r="E23" s="161" t="s">
        <v>15</v>
      </c>
      <c r="F23" s="78"/>
    </row>
    <row r="24" spans="1:6">
      <c r="A24" s="105" t="s">
        <v>114</v>
      </c>
      <c r="B24" s="106" t="s">
        <v>165</v>
      </c>
      <c r="C24" s="6">
        <v>43466</v>
      </c>
      <c r="D24" s="7">
        <v>1</v>
      </c>
      <c r="E24" s="161" t="s">
        <v>15</v>
      </c>
      <c r="F24" s="78"/>
    </row>
    <row r="25" spans="1:6">
      <c r="A25" s="105" t="s">
        <v>115</v>
      </c>
      <c r="B25" s="106" t="s">
        <v>166</v>
      </c>
      <c r="C25" s="6">
        <v>43466</v>
      </c>
      <c r="D25" s="7">
        <v>1</v>
      </c>
      <c r="E25" s="161" t="s">
        <v>15</v>
      </c>
      <c r="F25" s="78"/>
    </row>
    <row r="26" spans="1:6">
      <c r="A26" s="105" t="s">
        <v>116</v>
      </c>
      <c r="B26" s="106" t="s">
        <v>167</v>
      </c>
      <c r="C26" s="6">
        <v>43466</v>
      </c>
      <c r="D26" s="7">
        <v>1</v>
      </c>
      <c r="E26" s="161" t="s">
        <v>15</v>
      </c>
      <c r="F26" s="78"/>
    </row>
    <row r="27" spans="1:6">
      <c r="A27" s="105" t="s">
        <v>117</v>
      </c>
      <c r="B27" s="106" t="s">
        <v>168</v>
      </c>
      <c r="C27" s="6">
        <v>43466</v>
      </c>
      <c r="D27" s="7">
        <v>1</v>
      </c>
      <c r="E27" s="161" t="s">
        <v>15</v>
      </c>
      <c r="F27" s="78"/>
    </row>
    <row r="28" spans="1:6">
      <c r="A28" s="105" t="s">
        <v>118</v>
      </c>
      <c r="B28" s="106" t="s">
        <v>169</v>
      </c>
      <c r="C28" s="6">
        <v>43466</v>
      </c>
      <c r="D28" s="7">
        <v>1</v>
      </c>
      <c r="E28" s="161" t="s">
        <v>15</v>
      </c>
      <c r="F28" s="78"/>
    </row>
    <row r="29" spans="1:6">
      <c r="A29" s="105" t="s">
        <v>119</v>
      </c>
      <c r="B29" s="106" t="s">
        <v>170</v>
      </c>
      <c r="C29" s="6">
        <v>43466</v>
      </c>
      <c r="D29" s="7">
        <v>1</v>
      </c>
      <c r="E29" s="161" t="s">
        <v>15</v>
      </c>
      <c r="F29" s="78"/>
    </row>
    <row r="30" spans="1:6">
      <c r="A30" s="105" t="s">
        <v>120</v>
      </c>
      <c r="B30" s="106" t="s">
        <v>171</v>
      </c>
      <c r="C30" s="6">
        <v>43466</v>
      </c>
      <c r="D30" s="7">
        <v>1</v>
      </c>
      <c r="E30" s="161" t="s">
        <v>15</v>
      </c>
      <c r="F30" s="78"/>
    </row>
    <row r="31" spans="1:6">
      <c r="A31" s="105" t="s">
        <v>121</v>
      </c>
      <c r="B31" s="106" t="s">
        <v>172</v>
      </c>
      <c r="C31" s="6">
        <v>43466</v>
      </c>
      <c r="D31" s="7">
        <v>1</v>
      </c>
      <c r="E31" s="161" t="s">
        <v>15</v>
      </c>
      <c r="F31" s="78"/>
    </row>
    <row r="32" spans="1:6">
      <c r="A32" s="105" t="s">
        <v>122</v>
      </c>
      <c r="B32" s="106" t="s">
        <v>173</v>
      </c>
      <c r="C32" s="6">
        <v>43466</v>
      </c>
      <c r="D32" s="7">
        <v>1</v>
      </c>
      <c r="E32" s="161" t="s">
        <v>15</v>
      </c>
      <c r="F32" s="78"/>
    </row>
    <row r="33" spans="1:6">
      <c r="A33" s="105" t="s">
        <v>123</v>
      </c>
      <c r="B33" s="106" t="s">
        <v>174</v>
      </c>
      <c r="C33" s="6">
        <v>43466</v>
      </c>
      <c r="D33" s="7">
        <v>1</v>
      </c>
      <c r="E33" s="161" t="s">
        <v>15</v>
      </c>
      <c r="F33" s="78"/>
    </row>
    <row r="34" spans="1:6">
      <c r="A34" s="105" t="s">
        <v>124</v>
      </c>
      <c r="B34" s="106" t="s">
        <v>175</v>
      </c>
      <c r="C34" s="6">
        <v>43466</v>
      </c>
      <c r="D34" s="7">
        <v>1</v>
      </c>
      <c r="E34" s="161" t="s">
        <v>15</v>
      </c>
      <c r="F34" s="78"/>
    </row>
    <row r="35" spans="1:6">
      <c r="A35" s="105" t="s">
        <v>125</v>
      </c>
      <c r="B35" s="106" t="s">
        <v>176</v>
      </c>
      <c r="C35" s="6">
        <v>43466</v>
      </c>
      <c r="D35" s="7">
        <v>1</v>
      </c>
      <c r="E35" s="161" t="s">
        <v>15</v>
      </c>
      <c r="F35" s="78"/>
    </row>
    <row r="36" spans="1:6">
      <c r="A36" s="105" t="s">
        <v>126</v>
      </c>
      <c r="B36" s="106" t="s">
        <v>177</v>
      </c>
      <c r="C36" s="6">
        <v>43466</v>
      </c>
      <c r="D36" s="7">
        <v>1</v>
      </c>
      <c r="E36" s="161" t="s">
        <v>15</v>
      </c>
      <c r="F36" s="78"/>
    </row>
    <row r="37" spans="1:6">
      <c r="A37" s="105" t="s">
        <v>127</v>
      </c>
      <c r="B37" s="106" t="s">
        <v>178</v>
      </c>
      <c r="C37" s="6">
        <v>43466</v>
      </c>
      <c r="D37" s="7">
        <v>1</v>
      </c>
      <c r="E37" s="161" t="s">
        <v>15</v>
      </c>
      <c r="F37" s="78"/>
    </row>
    <row r="38" spans="1:6">
      <c r="A38" s="105" t="s">
        <v>128</v>
      </c>
      <c r="B38" s="106" t="s">
        <v>179</v>
      </c>
      <c r="C38" s="6">
        <v>43466</v>
      </c>
      <c r="D38" s="7">
        <v>1</v>
      </c>
      <c r="E38" s="161" t="s">
        <v>15</v>
      </c>
      <c r="F38" s="78"/>
    </row>
    <row r="39" spans="1:6">
      <c r="A39" s="105" t="s">
        <v>129</v>
      </c>
      <c r="B39" s="106" t="s">
        <v>180</v>
      </c>
      <c r="C39" s="6">
        <v>43466</v>
      </c>
      <c r="D39" s="7">
        <v>1</v>
      </c>
      <c r="E39" s="161" t="s">
        <v>15</v>
      </c>
      <c r="F39" s="78"/>
    </row>
    <row r="40" spans="1:6">
      <c r="A40" s="105" t="s">
        <v>130</v>
      </c>
      <c r="B40" s="106" t="s">
        <v>181</v>
      </c>
      <c r="C40" s="6">
        <v>43466</v>
      </c>
      <c r="D40" s="7">
        <v>1</v>
      </c>
      <c r="E40" s="161" t="s">
        <v>15</v>
      </c>
      <c r="F40" s="78"/>
    </row>
    <row r="41" spans="1:6">
      <c r="A41" s="105" t="s">
        <v>131</v>
      </c>
      <c r="B41" s="106" t="s">
        <v>182</v>
      </c>
      <c r="C41" s="6">
        <v>43466</v>
      </c>
      <c r="D41" s="7">
        <v>1</v>
      </c>
      <c r="E41" s="161" t="s">
        <v>15</v>
      </c>
      <c r="F41" s="78"/>
    </row>
    <row r="42" spans="1:6">
      <c r="A42" s="105" t="s">
        <v>132</v>
      </c>
      <c r="B42" s="106" t="s">
        <v>183</v>
      </c>
      <c r="C42" s="6">
        <v>43466</v>
      </c>
      <c r="D42" s="7">
        <v>1</v>
      </c>
      <c r="E42" s="161" t="s">
        <v>15</v>
      </c>
      <c r="F42" s="78"/>
    </row>
    <row r="43" spans="1:6">
      <c r="A43" s="105" t="s">
        <v>133</v>
      </c>
      <c r="B43" s="106" t="s">
        <v>184</v>
      </c>
      <c r="C43" s="6">
        <v>43466</v>
      </c>
      <c r="D43" s="7">
        <v>1</v>
      </c>
      <c r="E43" s="161" t="s">
        <v>15</v>
      </c>
      <c r="F43" s="78"/>
    </row>
    <row r="44" spans="1:6">
      <c r="A44" s="105" t="s">
        <v>134</v>
      </c>
      <c r="B44" s="106" t="s">
        <v>185</v>
      </c>
      <c r="C44" s="6">
        <v>43466</v>
      </c>
      <c r="D44" s="7">
        <v>1</v>
      </c>
      <c r="E44" s="161" t="s">
        <v>15</v>
      </c>
      <c r="F44" s="78"/>
    </row>
    <row r="45" spans="1:6">
      <c r="A45" s="105" t="s">
        <v>135</v>
      </c>
      <c r="B45" s="106" t="s">
        <v>186</v>
      </c>
      <c r="C45" s="6">
        <v>43466</v>
      </c>
      <c r="D45" s="7">
        <v>1</v>
      </c>
      <c r="E45" s="161" t="s">
        <v>15</v>
      </c>
      <c r="F45" s="78"/>
    </row>
    <row r="46" spans="1:6">
      <c r="A46" s="105" t="s">
        <v>136</v>
      </c>
      <c r="B46" s="106" t="s">
        <v>187</v>
      </c>
      <c r="C46" s="6">
        <v>43466</v>
      </c>
      <c r="D46" s="7">
        <v>1</v>
      </c>
      <c r="E46" s="161" t="s">
        <v>15</v>
      </c>
      <c r="F46" s="78"/>
    </row>
    <row r="47" spans="1:6">
      <c r="A47" s="105" t="s">
        <v>137</v>
      </c>
      <c r="B47" s="106" t="s">
        <v>188</v>
      </c>
      <c r="C47" s="6">
        <v>43466</v>
      </c>
      <c r="D47" s="7">
        <v>1</v>
      </c>
      <c r="E47" s="161" t="s">
        <v>15</v>
      </c>
      <c r="F47" s="78"/>
    </row>
    <row r="48" spans="1:6">
      <c r="A48" s="105" t="s">
        <v>138</v>
      </c>
      <c r="B48" s="106" t="s">
        <v>189</v>
      </c>
      <c r="C48" s="6">
        <v>43466</v>
      </c>
      <c r="D48" s="7">
        <v>1</v>
      </c>
      <c r="E48" s="161" t="s">
        <v>15</v>
      </c>
      <c r="F48" s="78"/>
    </row>
    <row r="49" spans="1:6">
      <c r="A49" s="105" t="s">
        <v>139</v>
      </c>
      <c r="B49" s="106" t="s">
        <v>190</v>
      </c>
      <c r="C49" s="6">
        <v>43466</v>
      </c>
      <c r="D49" s="7">
        <v>1</v>
      </c>
      <c r="E49" s="161" t="s">
        <v>15</v>
      </c>
      <c r="F49" s="78"/>
    </row>
    <row r="50" spans="1:6">
      <c r="A50" s="105" t="s">
        <v>140</v>
      </c>
      <c r="B50" s="106" t="s">
        <v>191</v>
      </c>
      <c r="C50" s="6">
        <v>43466</v>
      </c>
      <c r="D50" s="7">
        <v>1</v>
      </c>
      <c r="E50" s="161" t="s">
        <v>15</v>
      </c>
      <c r="F50" s="78"/>
    </row>
    <row r="51" spans="1:6">
      <c r="A51" s="105" t="s">
        <v>141</v>
      </c>
      <c r="B51" s="106" t="s">
        <v>192</v>
      </c>
      <c r="C51" s="6">
        <v>43466</v>
      </c>
      <c r="D51" s="7">
        <v>1</v>
      </c>
      <c r="E51" s="161" t="s">
        <v>15</v>
      </c>
      <c r="F51" s="78"/>
    </row>
    <row r="52" spans="1:6">
      <c r="A52" s="105" t="s">
        <v>142</v>
      </c>
      <c r="B52" s="106" t="s">
        <v>193</v>
      </c>
      <c r="C52" s="6">
        <v>43466</v>
      </c>
      <c r="D52" s="7">
        <v>1</v>
      </c>
      <c r="E52" s="161" t="s">
        <v>15</v>
      </c>
      <c r="F52" s="78"/>
    </row>
    <row r="53" spans="1:6">
      <c r="A53" s="105" t="s">
        <v>143</v>
      </c>
      <c r="B53" s="106" t="s">
        <v>194</v>
      </c>
      <c r="C53" s="6">
        <v>43466</v>
      </c>
      <c r="D53" s="7">
        <v>1</v>
      </c>
      <c r="E53" s="161" t="s">
        <v>15</v>
      </c>
      <c r="F53" s="78"/>
    </row>
    <row r="54" spans="1:6">
      <c r="A54" s="105" t="s">
        <v>144</v>
      </c>
      <c r="B54" s="106" t="s">
        <v>195</v>
      </c>
      <c r="C54" s="6">
        <v>43466</v>
      </c>
      <c r="D54" s="7">
        <v>1</v>
      </c>
      <c r="E54" s="161" t="s">
        <v>15</v>
      </c>
      <c r="F54" s="78"/>
    </row>
    <row r="55" spans="1:6">
      <c r="A55" s="105" t="s">
        <v>145</v>
      </c>
      <c r="B55" s="106" t="s">
        <v>196</v>
      </c>
      <c r="C55" s="6">
        <v>43466</v>
      </c>
      <c r="D55" s="7">
        <v>1</v>
      </c>
      <c r="E55" s="161" t="s">
        <v>15</v>
      </c>
      <c r="F55" s="78"/>
    </row>
    <row r="56" spans="1:6">
      <c r="A56" s="105" t="s">
        <v>146</v>
      </c>
      <c r="B56" s="106" t="s">
        <v>197</v>
      </c>
      <c r="C56" s="6">
        <v>43466</v>
      </c>
      <c r="D56" s="7">
        <v>1</v>
      </c>
      <c r="E56" s="161" t="s">
        <v>15</v>
      </c>
      <c r="F56" s="78"/>
    </row>
    <row r="57" spans="1:6">
      <c r="A57" s="105" t="s">
        <v>147</v>
      </c>
      <c r="B57" s="106" t="s">
        <v>198</v>
      </c>
      <c r="C57" s="6">
        <v>43466</v>
      </c>
      <c r="D57" s="7">
        <v>1</v>
      </c>
      <c r="E57" s="161" t="s">
        <v>15</v>
      </c>
      <c r="F57" s="78"/>
    </row>
    <row r="58" spans="1:6">
      <c r="A58" s="105" t="s">
        <v>148</v>
      </c>
      <c r="B58" s="106" t="s">
        <v>199</v>
      </c>
      <c r="C58" s="6">
        <v>43466</v>
      </c>
      <c r="D58" s="7">
        <v>1</v>
      </c>
      <c r="E58" s="161" t="s">
        <v>15</v>
      </c>
      <c r="F58" s="78"/>
    </row>
    <row r="59" spans="1:6">
      <c r="A59" s="105" t="s">
        <v>149</v>
      </c>
      <c r="B59" s="106" t="s">
        <v>200</v>
      </c>
      <c r="C59" s="6">
        <v>43466</v>
      </c>
      <c r="D59" s="7">
        <v>1</v>
      </c>
      <c r="E59" s="161" t="s">
        <v>15</v>
      </c>
      <c r="F59" s="78"/>
    </row>
    <row r="60" spans="1:6">
      <c r="A60" s="107" t="s">
        <v>150</v>
      </c>
      <c r="B60" s="106" t="s">
        <v>201</v>
      </c>
      <c r="C60" s="6">
        <v>43466</v>
      </c>
      <c r="D60" s="7">
        <v>1</v>
      </c>
      <c r="E60" s="161" t="s">
        <v>15</v>
      </c>
      <c r="F60" s="78"/>
    </row>
    <row r="61" spans="1:6">
      <c r="A61" s="108">
        <v>81211</v>
      </c>
      <c r="B61" s="56" t="s">
        <v>202</v>
      </c>
      <c r="C61" s="6">
        <v>43466</v>
      </c>
      <c r="D61" s="7">
        <v>3</v>
      </c>
      <c r="E61" s="161" t="s">
        <v>15</v>
      </c>
      <c r="F61" s="78"/>
    </row>
    <row r="62" spans="1:6">
      <c r="A62" s="108">
        <v>81213</v>
      </c>
      <c r="B62" s="56" t="s">
        <v>203</v>
      </c>
      <c r="C62" s="6">
        <v>43466</v>
      </c>
      <c r="D62" s="7">
        <v>3</v>
      </c>
      <c r="E62" s="161" t="s">
        <v>15</v>
      </c>
      <c r="F62" s="78"/>
    </row>
    <row r="63" spans="1:6">
      <c r="A63" s="108">
        <v>81214</v>
      </c>
      <c r="B63" s="56" t="s">
        <v>204</v>
      </c>
      <c r="C63" s="6">
        <v>43466</v>
      </c>
      <c r="D63" s="7">
        <v>3</v>
      </c>
      <c r="E63" s="161" t="s">
        <v>15</v>
      </c>
      <c r="F63" s="78"/>
    </row>
    <row r="64" spans="1:6">
      <c r="A64" s="120"/>
      <c r="B64" s="121"/>
      <c r="C64" s="122"/>
      <c r="D64" s="123"/>
      <c r="E64" s="124"/>
      <c r="F64" s="125"/>
    </row>
    <row r="65" spans="1:6">
      <c r="A65" s="120"/>
      <c r="B65" s="121"/>
      <c r="C65" s="122"/>
      <c r="D65" s="123"/>
      <c r="E65" s="124"/>
      <c r="F65" s="125"/>
    </row>
    <row r="66" spans="1:6">
      <c r="A66" s="120"/>
      <c r="B66" s="121"/>
      <c r="C66" s="122"/>
      <c r="D66" s="123"/>
      <c r="E66" s="124"/>
      <c r="F66" s="125"/>
    </row>
    <row r="67" spans="1:6">
      <c r="A67" s="120"/>
      <c r="B67" s="121"/>
      <c r="C67" s="122"/>
      <c r="D67" s="123"/>
      <c r="E67" s="124"/>
      <c r="F67" s="125"/>
    </row>
    <row r="68" spans="1:6">
      <c r="A68" s="120"/>
      <c r="B68" s="121"/>
      <c r="C68" s="122"/>
      <c r="D68" s="123"/>
      <c r="E68" s="124"/>
      <c r="F68" s="125"/>
    </row>
    <row r="69" spans="1:6">
      <c r="A69" s="120"/>
      <c r="B69" s="121"/>
      <c r="C69" s="122"/>
      <c r="D69" s="123"/>
      <c r="E69" s="124"/>
      <c r="F69" s="125"/>
    </row>
    <row r="70" spans="1:6">
      <c r="A70" s="120"/>
      <c r="B70" s="121"/>
      <c r="C70" s="122"/>
      <c r="D70" s="123"/>
      <c r="E70" s="124"/>
      <c r="F70" s="125"/>
    </row>
    <row r="71" spans="1:6">
      <c r="A71" s="120"/>
      <c r="B71" s="121"/>
      <c r="C71" s="122"/>
      <c r="D71" s="123"/>
      <c r="E71" s="124"/>
      <c r="F71" s="125"/>
    </row>
    <row r="72" spans="1:6">
      <c r="A72" s="120"/>
      <c r="B72" s="121"/>
      <c r="C72" s="122"/>
      <c r="D72" s="123"/>
      <c r="E72" s="124"/>
      <c r="F72" s="125"/>
    </row>
    <row r="73" spans="1:6">
      <c r="A73" s="126"/>
      <c r="B73" s="127"/>
      <c r="C73" s="122"/>
      <c r="D73" s="128"/>
      <c r="E73" s="124"/>
      <c r="F73" s="129"/>
    </row>
    <row r="74" spans="1:6">
      <c r="A74" s="126"/>
      <c r="B74" s="127"/>
      <c r="C74" s="122"/>
      <c r="D74" s="128"/>
      <c r="E74" s="124"/>
      <c r="F74" s="129"/>
    </row>
    <row r="75" spans="1:6">
      <c r="A75" s="126"/>
      <c r="B75" s="127"/>
      <c r="C75" s="122"/>
      <c r="D75" s="128"/>
      <c r="E75" s="124"/>
      <c r="F75" s="129"/>
    </row>
    <row r="76" spans="1:6">
      <c r="A76" s="126"/>
      <c r="B76" s="127"/>
      <c r="C76" s="122"/>
      <c r="D76" s="128"/>
      <c r="E76" s="124"/>
      <c r="F76" s="129"/>
    </row>
    <row r="77" spans="1:6">
      <c r="A77" s="126"/>
      <c r="B77" s="127"/>
      <c r="C77" s="122"/>
      <c r="D77" s="128"/>
      <c r="E77" s="124"/>
      <c r="F77" s="129"/>
    </row>
    <row r="78" spans="1:6">
      <c r="A78" s="126"/>
      <c r="B78" s="127"/>
      <c r="C78" s="122"/>
      <c r="D78" s="128"/>
      <c r="E78" s="124"/>
      <c r="F78" s="129"/>
    </row>
    <row r="79" spans="1:6">
      <c r="A79" s="126"/>
      <c r="B79" s="127"/>
      <c r="C79" s="122"/>
      <c r="D79" s="128"/>
      <c r="E79" s="124"/>
      <c r="F79" s="129"/>
    </row>
    <row r="80" spans="1:6">
      <c r="A80" s="126"/>
      <c r="B80" s="127"/>
      <c r="C80" s="122"/>
      <c r="D80" s="128"/>
      <c r="E80" s="124"/>
      <c r="F80" s="129"/>
    </row>
    <row r="81" spans="1:6">
      <c r="A81" s="126"/>
      <c r="B81" s="127"/>
      <c r="C81" s="122"/>
      <c r="D81" s="128"/>
      <c r="E81" s="124"/>
      <c r="F81" s="129"/>
    </row>
    <row r="82" spans="1:6">
      <c r="A82" s="126"/>
      <c r="B82" s="127"/>
      <c r="C82" s="122"/>
      <c r="D82" s="128"/>
      <c r="E82" s="124"/>
      <c r="F82" s="129"/>
    </row>
    <row r="83" spans="1:6">
      <c r="A83" s="126"/>
      <c r="B83" s="127"/>
      <c r="C83" s="122"/>
      <c r="D83" s="128"/>
      <c r="E83" s="124"/>
      <c r="F83" s="129"/>
    </row>
    <row r="84" spans="1:6">
      <c r="A84" s="126"/>
      <c r="B84" s="127"/>
      <c r="C84" s="122"/>
      <c r="D84" s="128"/>
      <c r="E84" s="124"/>
      <c r="F84" s="129"/>
    </row>
    <row r="85" spans="1:6">
      <c r="A85" s="130"/>
      <c r="B85" s="127"/>
      <c r="C85" s="122"/>
      <c r="D85" s="128"/>
      <c r="E85" s="124"/>
      <c r="F85" s="129"/>
    </row>
    <row r="86" spans="1:6">
      <c r="A86" s="130"/>
      <c r="B86" s="127"/>
      <c r="C86" s="122"/>
      <c r="D86" s="128"/>
      <c r="E86" s="124"/>
      <c r="F86" s="131"/>
    </row>
    <row r="87" spans="1:6">
      <c r="A87" s="130"/>
      <c r="B87" s="127"/>
      <c r="C87" s="122"/>
      <c r="D87" s="128"/>
      <c r="E87" s="124"/>
      <c r="F87" s="131"/>
    </row>
  </sheetData>
  <autoFilter ref="A9:F87" xr:uid="{00000000-0009-0000-0000-000002000000}"/>
  <conditionalFormatting sqref="A10:A49">
    <cfRule type="duplicateValues" dxfId="9" priority="2"/>
  </conditionalFormatting>
  <conditionalFormatting sqref="A50:A72">
    <cfRule type="duplicateValues" dxfId="8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7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Normal="100" zoomScaleSheetLayoutView="100" workbookViewId="0">
      <pane ySplit="9" topLeftCell="A10" activePane="bottomLeft" state="frozen"/>
      <selection pane="bottomLeft" activeCell="E22" sqref="E22"/>
    </sheetView>
  </sheetViews>
  <sheetFormatPr defaultColWidth="2.7109375" defaultRowHeight="12.75"/>
  <cols>
    <col min="1" max="1" width="12.7109375" style="20" customWidth="1"/>
    <col min="2" max="2" width="48.7109375" style="63" customWidth="1"/>
    <col min="3" max="3" width="12.7109375" style="21" customWidth="1"/>
    <col min="4" max="4" width="12.7109375" style="20" customWidth="1"/>
    <col min="5" max="5" width="12.7109375" style="5" customWidth="1"/>
    <col min="6" max="6" width="12.7109375" style="22" customWidth="1"/>
    <col min="7" max="7" width="12.7109375" style="19" customWidth="1"/>
    <col min="8" max="16384" width="2.7109375" style="19"/>
  </cols>
  <sheetData>
    <row r="1" spans="1:6" ht="20.25">
      <c r="A1" s="54" t="s">
        <v>611</v>
      </c>
      <c r="D1" s="5"/>
      <c r="E1" s="101"/>
    </row>
    <row r="3" spans="1:6" ht="20.25">
      <c r="A3" s="3" t="s">
        <v>96</v>
      </c>
      <c r="B3" s="61"/>
      <c r="D3" s="62"/>
    </row>
    <row r="5" spans="1:6">
      <c r="A5" s="65"/>
      <c r="D5" s="1" t="s">
        <v>41</v>
      </c>
      <c r="E5" s="66"/>
      <c r="F5" s="67"/>
    </row>
    <row r="6" spans="1:6">
      <c r="A6" s="65"/>
      <c r="D6" s="2" t="s">
        <v>88</v>
      </c>
      <c r="E6" s="66"/>
      <c r="F6" s="67"/>
    </row>
    <row r="7" spans="1:6">
      <c r="A7" s="65"/>
      <c r="D7" s="2" t="s">
        <v>89</v>
      </c>
      <c r="E7" s="66"/>
      <c r="F7" s="67"/>
    </row>
    <row r="8" spans="1:6">
      <c r="A8" s="65"/>
      <c r="D8" s="2" t="s">
        <v>40</v>
      </c>
      <c r="E8" s="66"/>
      <c r="F8" s="67"/>
    </row>
    <row r="9" spans="1:6" s="20" customFormat="1" ht="51">
      <c r="A9" s="55" t="s">
        <v>87</v>
      </c>
      <c r="B9" s="45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17" t="s">
        <v>530</v>
      </c>
      <c r="B10" s="57" t="s">
        <v>534</v>
      </c>
      <c r="C10" s="6">
        <v>43466</v>
      </c>
      <c r="D10" s="7">
        <v>1</v>
      </c>
      <c r="E10" s="137" t="s">
        <v>17</v>
      </c>
      <c r="F10" s="8"/>
    </row>
    <row r="11" spans="1:6">
      <c r="A11" s="117" t="s">
        <v>531</v>
      </c>
      <c r="B11" s="57" t="s">
        <v>535</v>
      </c>
      <c r="C11" s="6">
        <v>43466</v>
      </c>
      <c r="D11" s="7">
        <v>1</v>
      </c>
      <c r="E11" s="159">
        <v>35.65</v>
      </c>
      <c r="F11" s="9"/>
    </row>
    <row r="12" spans="1:6">
      <c r="A12" s="117" t="s">
        <v>532</v>
      </c>
      <c r="B12" s="57" t="s">
        <v>536</v>
      </c>
      <c r="C12" s="6">
        <v>43466</v>
      </c>
      <c r="D12" s="7">
        <v>1</v>
      </c>
      <c r="E12" s="160" t="s">
        <v>15</v>
      </c>
      <c r="F12" s="9"/>
    </row>
    <row r="13" spans="1:6">
      <c r="A13" s="117" t="s">
        <v>533</v>
      </c>
      <c r="B13" s="57" t="s">
        <v>537</v>
      </c>
      <c r="C13" s="6">
        <v>43466</v>
      </c>
      <c r="D13" s="7">
        <v>1</v>
      </c>
      <c r="E13" s="160" t="s">
        <v>15</v>
      </c>
      <c r="F13" s="9"/>
    </row>
    <row r="14" spans="1:6">
      <c r="A14" s="58" t="s">
        <v>540</v>
      </c>
      <c r="B14" s="57" t="s">
        <v>538</v>
      </c>
      <c r="C14" s="6">
        <v>43466</v>
      </c>
      <c r="D14" s="7">
        <v>1</v>
      </c>
      <c r="E14" s="160" t="s">
        <v>15</v>
      </c>
      <c r="F14" s="9"/>
    </row>
    <row r="15" spans="1:6">
      <c r="A15" s="58" t="s">
        <v>541</v>
      </c>
      <c r="B15" s="57" t="s">
        <v>539</v>
      </c>
      <c r="C15" s="6">
        <v>43466</v>
      </c>
      <c r="D15" s="7">
        <v>1</v>
      </c>
      <c r="E15" s="160" t="s">
        <v>17</v>
      </c>
      <c r="F15" s="9"/>
    </row>
    <row r="16" spans="1:6">
      <c r="A16" s="58" t="s">
        <v>594</v>
      </c>
      <c r="B16" s="53" t="s">
        <v>595</v>
      </c>
      <c r="C16" s="6">
        <v>43466</v>
      </c>
      <c r="D16" s="7">
        <v>1</v>
      </c>
      <c r="E16" s="160" t="s">
        <v>15</v>
      </c>
      <c r="F16" s="9"/>
    </row>
    <row r="17" spans="1:20">
      <c r="A17" s="117" t="s">
        <v>542</v>
      </c>
      <c r="B17" s="56" t="s">
        <v>546</v>
      </c>
      <c r="C17" s="6">
        <v>43466</v>
      </c>
      <c r="D17" s="7">
        <v>1</v>
      </c>
      <c r="E17" s="160" t="s">
        <v>17</v>
      </c>
      <c r="F17" s="9"/>
    </row>
    <row r="18" spans="1:20">
      <c r="A18" s="117" t="s">
        <v>543</v>
      </c>
      <c r="B18" s="56" t="s">
        <v>547</v>
      </c>
      <c r="C18" s="6">
        <v>43466</v>
      </c>
      <c r="D18" s="7">
        <v>1</v>
      </c>
      <c r="E18" s="160" t="s">
        <v>17</v>
      </c>
      <c r="F18" s="9"/>
    </row>
    <row r="19" spans="1:20">
      <c r="A19" s="117" t="s">
        <v>544</v>
      </c>
      <c r="B19" s="56" t="s">
        <v>548</v>
      </c>
      <c r="C19" s="6">
        <v>43466</v>
      </c>
      <c r="D19" s="7">
        <v>1</v>
      </c>
      <c r="E19" s="160" t="s">
        <v>17</v>
      </c>
      <c r="F19" s="9"/>
    </row>
    <row r="20" spans="1:20">
      <c r="A20" s="117" t="s">
        <v>545</v>
      </c>
      <c r="B20" s="56" t="s">
        <v>549</v>
      </c>
      <c r="C20" s="6">
        <v>43466</v>
      </c>
      <c r="D20" s="7">
        <v>1</v>
      </c>
      <c r="E20" s="160" t="s">
        <v>17</v>
      </c>
      <c r="F20" s="9"/>
    </row>
    <row r="21" spans="1:20">
      <c r="A21" s="107" t="s">
        <v>550</v>
      </c>
      <c r="B21" s="106" t="s">
        <v>551</v>
      </c>
      <c r="C21" s="6">
        <v>43466</v>
      </c>
      <c r="D21" s="7">
        <v>1</v>
      </c>
      <c r="E21" s="160" t="s">
        <v>17</v>
      </c>
      <c r="F21" s="6"/>
      <c r="T21" s="136"/>
    </row>
    <row r="22" spans="1:20">
      <c r="A22" s="107" t="s">
        <v>552</v>
      </c>
      <c r="B22" s="106" t="s">
        <v>561</v>
      </c>
      <c r="C22" s="6">
        <v>43466</v>
      </c>
      <c r="D22" s="7">
        <v>1</v>
      </c>
      <c r="E22" s="160" t="s">
        <v>15</v>
      </c>
      <c r="F22" s="6"/>
    </row>
    <row r="23" spans="1:20">
      <c r="A23" s="107" t="s">
        <v>553</v>
      </c>
      <c r="B23" s="106" t="s">
        <v>562</v>
      </c>
      <c r="C23" s="6">
        <v>43466</v>
      </c>
      <c r="D23" s="7">
        <v>1</v>
      </c>
      <c r="E23" s="160" t="s">
        <v>15</v>
      </c>
      <c r="F23" s="6"/>
    </row>
    <row r="24" spans="1:20">
      <c r="A24" s="107" t="s">
        <v>554</v>
      </c>
      <c r="B24" s="106" t="s">
        <v>563</v>
      </c>
      <c r="C24" s="6">
        <v>43466</v>
      </c>
      <c r="D24" s="7">
        <v>1</v>
      </c>
      <c r="E24" s="160" t="s">
        <v>15</v>
      </c>
      <c r="F24" s="6"/>
    </row>
    <row r="25" spans="1:20">
      <c r="A25" s="107" t="s">
        <v>555</v>
      </c>
      <c r="B25" s="106" t="s">
        <v>564</v>
      </c>
      <c r="C25" s="6">
        <v>43466</v>
      </c>
      <c r="D25" s="7">
        <v>1</v>
      </c>
      <c r="E25" s="160" t="s">
        <v>15</v>
      </c>
      <c r="F25" s="6"/>
    </row>
    <row r="26" spans="1:20">
      <c r="A26" s="107" t="s">
        <v>556</v>
      </c>
      <c r="B26" s="106" t="s">
        <v>565</v>
      </c>
      <c r="C26" s="6">
        <v>43466</v>
      </c>
      <c r="D26" s="7">
        <v>1</v>
      </c>
      <c r="E26" s="160" t="s">
        <v>15</v>
      </c>
      <c r="F26" s="6"/>
    </row>
    <row r="27" spans="1:20">
      <c r="A27" s="107" t="s">
        <v>557</v>
      </c>
      <c r="B27" s="106" t="s">
        <v>566</v>
      </c>
      <c r="C27" s="6">
        <v>43466</v>
      </c>
      <c r="D27" s="7">
        <v>1</v>
      </c>
      <c r="E27" s="160" t="s">
        <v>15</v>
      </c>
      <c r="F27" s="6"/>
    </row>
    <row r="28" spans="1:20">
      <c r="A28" s="107" t="s">
        <v>558</v>
      </c>
      <c r="B28" s="106" t="s">
        <v>567</v>
      </c>
      <c r="C28" s="6">
        <v>43466</v>
      </c>
      <c r="D28" s="7">
        <v>1</v>
      </c>
      <c r="E28" s="160" t="s">
        <v>15</v>
      </c>
      <c r="F28" s="6"/>
    </row>
    <row r="29" spans="1:20">
      <c r="A29" s="107" t="s">
        <v>559</v>
      </c>
      <c r="B29" s="106" t="s">
        <v>568</v>
      </c>
      <c r="C29" s="6">
        <v>43466</v>
      </c>
      <c r="D29" s="7">
        <v>1</v>
      </c>
      <c r="E29" s="160" t="s">
        <v>15</v>
      </c>
      <c r="F29" s="6"/>
    </row>
    <row r="30" spans="1:20">
      <c r="A30" s="107" t="s">
        <v>560</v>
      </c>
      <c r="B30" s="106" t="s">
        <v>569</v>
      </c>
      <c r="C30" s="6">
        <v>43466</v>
      </c>
      <c r="D30" s="7">
        <v>1</v>
      </c>
      <c r="E30" s="160" t="s">
        <v>15</v>
      </c>
      <c r="F30" s="6"/>
    </row>
    <row r="31" spans="1:20">
      <c r="A31" s="138" t="s">
        <v>596</v>
      </c>
      <c r="B31" s="56" t="s">
        <v>535</v>
      </c>
      <c r="C31" s="6">
        <v>43466</v>
      </c>
      <c r="D31" s="139">
        <v>3</v>
      </c>
      <c r="E31" s="160" t="s">
        <v>15</v>
      </c>
      <c r="F31" s="140"/>
    </row>
    <row r="32" spans="1:20">
      <c r="A32" s="138" t="s">
        <v>597</v>
      </c>
      <c r="B32" s="56" t="s">
        <v>598</v>
      </c>
      <c r="C32" s="6">
        <v>43466</v>
      </c>
      <c r="D32" s="139">
        <v>3</v>
      </c>
      <c r="E32" s="160" t="s">
        <v>15</v>
      </c>
      <c r="F32" s="140"/>
    </row>
    <row r="33" spans="1:6">
      <c r="A33" s="141" t="s">
        <v>599</v>
      </c>
      <c r="B33" s="56" t="s">
        <v>602</v>
      </c>
      <c r="C33" s="6">
        <v>43466</v>
      </c>
      <c r="D33" s="139">
        <v>3</v>
      </c>
      <c r="E33" s="160" t="s">
        <v>15</v>
      </c>
      <c r="F33" s="140"/>
    </row>
    <row r="34" spans="1:6">
      <c r="A34" s="141" t="s">
        <v>600</v>
      </c>
      <c r="B34" s="56" t="s">
        <v>603</v>
      </c>
      <c r="C34" s="6">
        <v>43466</v>
      </c>
      <c r="D34" s="139">
        <v>3</v>
      </c>
      <c r="E34" s="160" t="s">
        <v>15</v>
      </c>
      <c r="F34" s="140"/>
    </row>
    <row r="35" spans="1:6">
      <c r="A35" s="141" t="s">
        <v>601</v>
      </c>
      <c r="B35" s="56" t="s">
        <v>604</v>
      </c>
      <c r="C35" s="6">
        <v>43466</v>
      </c>
      <c r="D35" s="139">
        <v>3</v>
      </c>
      <c r="E35" s="160" t="s">
        <v>15</v>
      </c>
      <c r="F35" s="140"/>
    </row>
  </sheetData>
  <autoFilter ref="A9:F19" xr:uid="{00000000-0009-0000-0000-000003000000}"/>
  <conditionalFormatting sqref="A10:A11">
    <cfRule type="duplicateValues" dxfId="7" priority="3"/>
  </conditionalFormatting>
  <conditionalFormatting sqref="A12:A13">
    <cfRule type="duplicateValues" dxfId="6" priority="2"/>
  </conditionalFormatting>
  <conditionalFormatting sqref="A14:A18">
    <cfRule type="duplicateValues" dxfId="5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6"/>
  <sheetViews>
    <sheetView zoomScaleNormal="100" zoomScaleSheetLayoutView="100" workbookViewId="0">
      <selection activeCell="P13" sqref="P13"/>
    </sheetView>
  </sheetViews>
  <sheetFormatPr defaultColWidth="9.140625" defaultRowHeight="12.75"/>
  <cols>
    <col min="1" max="1" width="12.7109375" style="59" customWidth="1"/>
    <col min="2" max="2" width="48.7109375" style="53" customWidth="1"/>
    <col min="3" max="7" width="12.7109375" style="53" customWidth="1"/>
    <col min="8" max="16384" width="9.140625" style="53"/>
  </cols>
  <sheetData>
    <row r="1" spans="1:14" ht="23.25">
      <c r="A1" s="54" t="s">
        <v>611</v>
      </c>
      <c r="B1" s="145"/>
      <c r="C1" s="145"/>
      <c r="D1" s="145"/>
      <c r="E1" s="102"/>
    </row>
    <row r="3" spans="1:14" ht="20.25">
      <c r="A3" s="54" t="s">
        <v>99</v>
      </c>
    </row>
    <row r="5" spans="1:14">
      <c r="B5" s="65"/>
    </row>
    <row r="6" spans="1:14">
      <c r="A6" s="72"/>
      <c r="B6" s="65" t="s">
        <v>632</v>
      </c>
      <c r="C6" s="23"/>
      <c r="D6" s="23"/>
      <c r="E6" s="23"/>
      <c r="F6" s="23"/>
      <c r="G6" s="23"/>
    </row>
    <row r="7" spans="1:14">
      <c r="A7" s="72"/>
      <c r="B7" s="65"/>
      <c r="C7" s="23"/>
      <c r="D7" s="23"/>
      <c r="E7" s="23"/>
      <c r="F7" s="23"/>
      <c r="G7" s="23"/>
    </row>
    <row r="8" spans="1:14">
      <c r="A8" s="68"/>
      <c r="B8" s="71"/>
      <c r="C8" s="69"/>
      <c r="D8" s="68"/>
      <c r="E8" s="68"/>
      <c r="F8" s="70"/>
      <c r="G8" s="73"/>
    </row>
    <row r="9" spans="1:14" ht="51">
      <c r="A9" s="55" t="s">
        <v>87</v>
      </c>
      <c r="B9" s="45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5" t="s">
        <v>98</v>
      </c>
      <c r="K9" s="147"/>
    </row>
    <row r="10" spans="1:14">
      <c r="A10" s="105" t="s">
        <v>293</v>
      </c>
      <c r="B10" s="106" t="s">
        <v>294</v>
      </c>
      <c r="C10" s="52">
        <v>43466</v>
      </c>
      <c r="D10" s="77" t="s">
        <v>17</v>
      </c>
      <c r="E10" s="77"/>
      <c r="F10" s="51"/>
      <c r="G10" s="51"/>
      <c r="K10" s="148"/>
    </row>
    <row r="11" spans="1:14">
      <c r="A11" s="143" t="s">
        <v>609</v>
      </c>
      <c r="B11" s="144" t="s">
        <v>610</v>
      </c>
      <c r="C11" s="52">
        <v>43466</v>
      </c>
      <c r="D11" s="77">
        <v>48.15</v>
      </c>
      <c r="E11" s="77"/>
      <c r="F11" s="51"/>
      <c r="G11" s="51"/>
    </row>
    <row r="12" spans="1:14">
      <c r="A12" s="105" t="s">
        <v>295</v>
      </c>
      <c r="B12" s="106" t="s">
        <v>350</v>
      </c>
      <c r="C12" s="52">
        <v>43466</v>
      </c>
      <c r="D12" s="77">
        <v>2.11</v>
      </c>
      <c r="E12" s="77"/>
      <c r="F12" s="51"/>
      <c r="G12" s="51"/>
      <c r="N12" s="149"/>
    </row>
    <row r="13" spans="1:14">
      <c r="A13" s="105" t="s">
        <v>296</v>
      </c>
      <c r="B13" s="106" t="s">
        <v>351</v>
      </c>
      <c r="C13" s="52">
        <v>43466</v>
      </c>
      <c r="D13" s="8">
        <v>167.04</v>
      </c>
      <c r="E13" s="78"/>
      <c r="F13" s="56"/>
      <c r="G13" s="56"/>
    </row>
    <row r="14" spans="1:14">
      <c r="A14" s="146" t="s">
        <v>297</v>
      </c>
      <c r="B14" s="106" t="s">
        <v>352</v>
      </c>
      <c r="C14" s="52">
        <v>43466</v>
      </c>
      <c r="D14" s="8">
        <v>96.3</v>
      </c>
      <c r="E14" s="78"/>
      <c r="F14" s="56"/>
      <c r="G14" s="56"/>
    </row>
    <row r="15" spans="1:14">
      <c r="A15" s="146" t="s">
        <v>298</v>
      </c>
      <c r="B15" s="106" t="s">
        <v>353</v>
      </c>
      <c r="C15" s="52">
        <v>43466</v>
      </c>
      <c r="D15" s="79">
        <v>363.8</v>
      </c>
      <c r="E15" s="78"/>
      <c r="F15" s="56"/>
      <c r="G15" s="56"/>
    </row>
    <row r="16" spans="1:14">
      <c r="A16" s="146" t="s">
        <v>299</v>
      </c>
      <c r="B16" s="106" t="s">
        <v>354</v>
      </c>
      <c r="C16" s="52">
        <v>43466</v>
      </c>
      <c r="D16" s="79">
        <v>10.06</v>
      </c>
      <c r="E16" s="78"/>
      <c r="F16" s="56"/>
      <c r="G16" s="56"/>
    </row>
    <row r="17" spans="1:7">
      <c r="A17" s="146" t="s">
        <v>300</v>
      </c>
      <c r="B17" s="106" t="s">
        <v>355</v>
      </c>
      <c r="C17" s="52">
        <v>43466</v>
      </c>
      <c r="D17" s="79" t="s">
        <v>15</v>
      </c>
      <c r="E17" s="78"/>
      <c r="F17" s="56"/>
      <c r="G17" s="56"/>
    </row>
    <row r="18" spans="1:7">
      <c r="A18" s="146" t="s">
        <v>301</v>
      </c>
      <c r="B18" s="106" t="s">
        <v>356</v>
      </c>
      <c r="C18" s="52">
        <v>43466</v>
      </c>
      <c r="D18" s="79">
        <v>19.75</v>
      </c>
      <c r="E18" s="78"/>
      <c r="F18" s="56"/>
      <c r="G18" s="56"/>
    </row>
    <row r="19" spans="1:7">
      <c r="A19" s="105" t="s">
        <v>302</v>
      </c>
      <c r="B19" s="106" t="s">
        <v>357</v>
      </c>
      <c r="C19" s="52">
        <v>43466</v>
      </c>
      <c r="D19" s="8">
        <v>529.52</v>
      </c>
      <c r="E19" s="78"/>
      <c r="F19" s="56"/>
      <c r="G19" s="56"/>
    </row>
    <row r="20" spans="1:7">
      <c r="A20" s="146" t="s">
        <v>303</v>
      </c>
      <c r="B20" s="106" t="s">
        <v>358</v>
      </c>
      <c r="C20" s="52">
        <v>43466</v>
      </c>
      <c r="D20" s="8">
        <v>108.7</v>
      </c>
      <c r="E20" s="78"/>
      <c r="F20" s="56"/>
      <c r="G20" s="56"/>
    </row>
    <row r="21" spans="1:7">
      <c r="A21" s="146" t="s">
        <v>304</v>
      </c>
      <c r="B21" s="106" t="s">
        <v>359</v>
      </c>
      <c r="C21" s="52">
        <v>43466</v>
      </c>
      <c r="D21" s="79" t="s">
        <v>15</v>
      </c>
      <c r="E21" s="78"/>
      <c r="F21" s="56"/>
      <c r="G21" s="56"/>
    </row>
    <row r="22" spans="1:7">
      <c r="A22" s="146" t="s">
        <v>305</v>
      </c>
      <c r="B22" s="106" t="s">
        <v>360</v>
      </c>
      <c r="C22" s="52">
        <v>43466</v>
      </c>
      <c r="D22" s="8">
        <v>16.05</v>
      </c>
      <c r="E22" s="78"/>
      <c r="F22" s="56"/>
      <c r="G22" s="56"/>
    </row>
    <row r="23" spans="1:7">
      <c r="A23" s="146" t="s">
        <v>306</v>
      </c>
      <c r="B23" s="106" t="s">
        <v>361</v>
      </c>
      <c r="C23" s="52">
        <v>43466</v>
      </c>
      <c r="D23" s="8">
        <v>0.95</v>
      </c>
      <c r="E23" s="78"/>
      <c r="F23" s="56"/>
      <c r="G23" s="56"/>
    </row>
    <row r="24" spans="1:7">
      <c r="A24" s="146" t="s">
        <v>307</v>
      </c>
      <c r="B24" s="106" t="s">
        <v>362</v>
      </c>
      <c r="C24" s="52">
        <v>43466</v>
      </c>
      <c r="D24" s="79">
        <v>141.84</v>
      </c>
      <c r="E24" s="78"/>
      <c r="F24" s="56"/>
      <c r="G24" s="56"/>
    </row>
    <row r="25" spans="1:7">
      <c r="A25" s="105" t="s">
        <v>308</v>
      </c>
      <c r="B25" s="106" t="s">
        <v>363</v>
      </c>
      <c r="C25" s="52">
        <v>43466</v>
      </c>
      <c r="D25" s="8">
        <v>18.88</v>
      </c>
      <c r="E25" s="78"/>
      <c r="F25" s="56"/>
      <c r="G25" s="56"/>
    </row>
    <row r="26" spans="1:7">
      <c r="A26" s="146" t="s">
        <v>309</v>
      </c>
      <c r="B26" s="106" t="s">
        <v>364</v>
      </c>
      <c r="C26" s="52">
        <v>43466</v>
      </c>
      <c r="D26" s="79">
        <v>870.17</v>
      </c>
      <c r="E26" s="78"/>
      <c r="F26" s="56"/>
      <c r="G26" s="56"/>
    </row>
    <row r="27" spans="1:7">
      <c r="A27" s="146" t="s">
        <v>310</v>
      </c>
      <c r="B27" s="56" t="s">
        <v>612</v>
      </c>
      <c r="C27" s="52">
        <v>43466</v>
      </c>
      <c r="D27" s="79">
        <v>226.31</v>
      </c>
      <c r="E27" s="78"/>
      <c r="F27" s="56"/>
      <c r="G27" s="56"/>
    </row>
    <row r="28" spans="1:7">
      <c r="A28" s="146" t="s">
        <v>311</v>
      </c>
      <c r="B28" s="106" t="s">
        <v>365</v>
      </c>
      <c r="C28" s="52">
        <v>43466</v>
      </c>
      <c r="D28" s="79" t="s">
        <v>17</v>
      </c>
      <c r="E28" s="78"/>
      <c r="F28" s="56"/>
      <c r="G28" s="56"/>
    </row>
    <row r="29" spans="1:7">
      <c r="A29" s="146" t="s">
        <v>312</v>
      </c>
      <c r="B29" s="106" t="s">
        <v>366</v>
      </c>
      <c r="C29" s="52">
        <v>43466</v>
      </c>
      <c r="D29" s="79" t="s">
        <v>15</v>
      </c>
      <c r="E29" s="78"/>
      <c r="F29" s="56"/>
      <c r="G29" s="56"/>
    </row>
    <row r="30" spans="1:7">
      <c r="A30" s="146" t="s">
        <v>313</v>
      </c>
      <c r="B30" s="106" t="s">
        <v>367</v>
      </c>
      <c r="C30" s="52">
        <v>43466</v>
      </c>
      <c r="D30" s="50">
        <v>48.6</v>
      </c>
      <c r="E30" s="80"/>
      <c r="F30" s="57"/>
      <c r="G30" s="57"/>
    </row>
    <row r="31" spans="1:7">
      <c r="A31" s="146" t="s">
        <v>314</v>
      </c>
      <c r="B31" s="106" t="s">
        <v>368</v>
      </c>
      <c r="C31" s="52">
        <v>43466</v>
      </c>
      <c r="D31" s="8">
        <v>1.18</v>
      </c>
      <c r="E31" s="78"/>
      <c r="F31" s="56"/>
      <c r="G31" s="56"/>
    </row>
    <row r="32" spans="1:7">
      <c r="A32" s="146" t="s">
        <v>315</v>
      </c>
      <c r="B32" s="106" t="s">
        <v>369</v>
      </c>
      <c r="C32" s="52">
        <v>43466</v>
      </c>
      <c r="D32" s="8">
        <v>4.28</v>
      </c>
      <c r="E32" s="78"/>
      <c r="F32" s="56"/>
      <c r="G32" s="56"/>
    </row>
    <row r="33" spans="1:7">
      <c r="A33" s="146" t="s">
        <v>316</v>
      </c>
      <c r="B33" s="106" t="s">
        <v>370</v>
      </c>
      <c r="C33" s="52">
        <v>43466</v>
      </c>
      <c r="D33" s="8">
        <v>16.25</v>
      </c>
      <c r="E33" s="78"/>
      <c r="F33" s="56"/>
      <c r="G33" s="56"/>
    </row>
    <row r="34" spans="1:7">
      <c r="A34" s="146" t="s">
        <v>317</v>
      </c>
      <c r="B34" s="106" t="s">
        <v>371</v>
      </c>
      <c r="C34" s="52">
        <v>43466</v>
      </c>
      <c r="D34" s="8">
        <v>11.56</v>
      </c>
      <c r="E34" s="78"/>
      <c r="F34" s="56"/>
      <c r="G34" s="56"/>
    </row>
    <row r="35" spans="1:7">
      <c r="A35" s="105" t="s">
        <v>318</v>
      </c>
      <c r="B35" s="106" t="s">
        <v>372</v>
      </c>
      <c r="C35" s="52">
        <v>43466</v>
      </c>
      <c r="D35" s="8">
        <v>35.67</v>
      </c>
      <c r="E35" s="78"/>
      <c r="F35" s="56"/>
      <c r="G35" s="56"/>
    </row>
    <row r="36" spans="1:7">
      <c r="A36" s="146" t="s">
        <v>319</v>
      </c>
      <c r="B36" s="106" t="s">
        <v>373</v>
      </c>
      <c r="C36" s="52">
        <v>43466</v>
      </c>
      <c r="D36" s="8">
        <v>81.569999999999993</v>
      </c>
      <c r="E36" s="78"/>
      <c r="F36" s="56"/>
      <c r="G36" s="56"/>
    </row>
    <row r="37" spans="1:7">
      <c r="A37" s="146" t="s">
        <v>320</v>
      </c>
      <c r="B37" s="106" t="s">
        <v>374</v>
      </c>
      <c r="C37" s="52">
        <v>43466</v>
      </c>
      <c r="D37" s="8">
        <v>190.32</v>
      </c>
      <c r="E37" s="78"/>
      <c r="F37" s="56"/>
      <c r="G37" s="56"/>
    </row>
    <row r="38" spans="1:7">
      <c r="A38" s="146" t="s">
        <v>321</v>
      </c>
      <c r="B38" s="106" t="s">
        <v>375</v>
      </c>
      <c r="C38" s="52">
        <v>43466</v>
      </c>
      <c r="D38" s="50">
        <v>70.099999999999994</v>
      </c>
      <c r="E38" s="78"/>
      <c r="F38" s="56"/>
      <c r="G38" s="56"/>
    </row>
    <row r="39" spans="1:7">
      <c r="A39" s="146" t="s">
        <v>322</v>
      </c>
      <c r="B39" s="106" t="s">
        <v>376</v>
      </c>
      <c r="C39" s="52">
        <v>43466</v>
      </c>
      <c r="D39" s="50">
        <v>2223.2199999999998</v>
      </c>
      <c r="E39" s="78"/>
      <c r="F39" s="56"/>
      <c r="G39" s="56"/>
    </row>
    <row r="40" spans="1:7">
      <c r="A40" s="146" t="s">
        <v>323</v>
      </c>
      <c r="B40" s="106" t="s">
        <v>377</v>
      </c>
      <c r="C40" s="52">
        <v>43466</v>
      </c>
      <c r="D40" s="50">
        <v>50.26</v>
      </c>
      <c r="E40" s="78"/>
      <c r="F40" s="56"/>
      <c r="G40" s="56"/>
    </row>
    <row r="41" spans="1:7">
      <c r="A41" s="146" t="s">
        <v>324</v>
      </c>
      <c r="B41" s="106" t="s">
        <v>378</v>
      </c>
      <c r="C41" s="52">
        <v>43466</v>
      </c>
      <c r="D41" s="50">
        <v>100.53</v>
      </c>
      <c r="E41" s="78"/>
      <c r="F41" s="56"/>
      <c r="G41" s="56"/>
    </row>
    <row r="42" spans="1:7">
      <c r="A42" s="146" t="s">
        <v>325</v>
      </c>
      <c r="B42" s="106" t="s">
        <v>379</v>
      </c>
      <c r="C42" s="52">
        <v>43466</v>
      </c>
      <c r="D42" s="50" t="s">
        <v>17</v>
      </c>
      <c r="E42" s="78"/>
      <c r="F42" s="56"/>
      <c r="G42" s="56"/>
    </row>
    <row r="43" spans="1:7">
      <c r="A43" s="146" t="s">
        <v>326</v>
      </c>
      <c r="B43" s="106" t="s">
        <v>380</v>
      </c>
      <c r="C43" s="52">
        <v>43466</v>
      </c>
      <c r="D43" s="50" t="s">
        <v>15</v>
      </c>
      <c r="E43" s="78"/>
      <c r="F43" s="56"/>
      <c r="G43" s="56"/>
    </row>
    <row r="44" spans="1:7">
      <c r="A44" s="146" t="s">
        <v>327</v>
      </c>
      <c r="B44" s="106" t="s">
        <v>381</v>
      </c>
      <c r="C44" s="52">
        <v>43466</v>
      </c>
      <c r="D44" s="50" t="s">
        <v>15</v>
      </c>
      <c r="E44" s="78"/>
      <c r="F44" s="56"/>
      <c r="G44" s="56"/>
    </row>
    <row r="45" spans="1:7">
      <c r="A45" s="146" t="s">
        <v>328</v>
      </c>
      <c r="B45" s="106" t="s">
        <v>382</v>
      </c>
      <c r="C45" s="52">
        <v>43466</v>
      </c>
      <c r="D45" s="50" t="s">
        <v>15</v>
      </c>
      <c r="E45" s="78"/>
      <c r="F45" s="56"/>
      <c r="G45" s="56"/>
    </row>
    <row r="46" spans="1:7">
      <c r="A46" s="146" t="s">
        <v>329</v>
      </c>
      <c r="B46" s="106" t="s">
        <v>383</v>
      </c>
      <c r="C46" s="52">
        <v>43466</v>
      </c>
      <c r="D46" s="50">
        <v>159.86000000000001</v>
      </c>
      <c r="E46" s="78"/>
      <c r="F46" s="56"/>
      <c r="G46" s="56"/>
    </row>
    <row r="47" spans="1:7">
      <c r="A47" s="146" t="s">
        <v>330</v>
      </c>
      <c r="B47" s="106" t="s">
        <v>384</v>
      </c>
      <c r="C47" s="52">
        <v>43466</v>
      </c>
      <c r="D47" s="50" t="s">
        <v>15</v>
      </c>
      <c r="E47" s="78"/>
      <c r="F47" s="56"/>
      <c r="G47" s="56"/>
    </row>
    <row r="48" spans="1:7">
      <c r="A48" s="146" t="s">
        <v>331</v>
      </c>
      <c r="B48" s="106" t="s">
        <v>385</v>
      </c>
      <c r="C48" s="52">
        <v>43466</v>
      </c>
      <c r="D48" s="50" t="s">
        <v>15</v>
      </c>
      <c r="E48" s="78"/>
      <c r="F48" s="56"/>
      <c r="G48" s="56"/>
    </row>
    <row r="49" spans="1:7">
      <c r="A49" s="146" t="s">
        <v>332</v>
      </c>
      <c r="B49" s="106" t="s">
        <v>386</v>
      </c>
      <c r="C49" s="52">
        <v>43466</v>
      </c>
      <c r="D49" s="50" t="s">
        <v>15</v>
      </c>
      <c r="E49" s="78"/>
      <c r="F49" s="56"/>
      <c r="G49" s="56"/>
    </row>
    <row r="50" spans="1:7">
      <c r="A50" s="146" t="s">
        <v>333</v>
      </c>
      <c r="B50" s="106" t="s">
        <v>387</v>
      </c>
      <c r="C50" s="52">
        <v>43466</v>
      </c>
      <c r="D50" s="50" t="s">
        <v>15</v>
      </c>
      <c r="E50" s="78"/>
      <c r="F50" s="56"/>
      <c r="G50" s="56"/>
    </row>
    <row r="51" spans="1:7">
      <c r="A51" s="146" t="s">
        <v>334</v>
      </c>
      <c r="B51" s="106" t="s">
        <v>388</v>
      </c>
      <c r="C51" s="52">
        <v>43466</v>
      </c>
      <c r="D51" s="50" t="s">
        <v>15</v>
      </c>
      <c r="E51" s="78"/>
      <c r="F51" s="56"/>
      <c r="G51" s="56"/>
    </row>
    <row r="52" spans="1:7">
      <c r="A52" s="146" t="s">
        <v>335</v>
      </c>
      <c r="B52" s="106" t="s">
        <v>389</v>
      </c>
      <c r="C52" s="52">
        <v>43466</v>
      </c>
      <c r="D52" s="50" t="s">
        <v>15</v>
      </c>
      <c r="E52" s="78"/>
      <c r="F52" s="56"/>
      <c r="G52" s="56"/>
    </row>
    <row r="53" spans="1:7">
      <c r="A53" s="146" t="s">
        <v>336</v>
      </c>
      <c r="B53" s="106" t="s">
        <v>390</v>
      </c>
      <c r="C53" s="52">
        <v>43466</v>
      </c>
      <c r="D53" s="50" t="s">
        <v>15</v>
      </c>
      <c r="E53" s="78"/>
      <c r="F53" s="56"/>
      <c r="G53" s="56"/>
    </row>
    <row r="54" spans="1:7">
      <c r="A54" s="146" t="s">
        <v>337</v>
      </c>
      <c r="B54" s="106" t="s">
        <v>391</v>
      </c>
      <c r="C54" s="52">
        <v>43466</v>
      </c>
      <c r="D54" s="50" t="s">
        <v>15</v>
      </c>
      <c r="E54" s="78"/>
      <c r="F54" s="56"/>
      <c r="G54" s="56"/>
    </row>
    <row r="55" spans="1:7">
      <c r="A55" s="146" t="s">
        <v>338</v>
      </c>
      <c r="B55" s="106" t="s">
        <v>392</v>
      </c>
      <c r="C55" s="52">
        <v>43466</v>
      </c>
      <c r="D55" s="50">
        <v>75.87</v>
      </c>
      <c r="E55" s="78"/>
      <c r="F55" s="56"/>
      <c r="G55" s="56"/>
    </row>
    <row r="56" spans="1:7">
      <c r="A56" s="146" t="s">
        <v>339</v>
      </c>
      <c r="B56" s="106" t="s">
        <v>393</v>
      </c>
      <c r="C56" s="52">
        <v>43466</v>
      </c>
      <c r="D56" s="50">
        <v>59.81</v>
      </c>
      <c r="E56" s="78"/>
      <c r="F56" s="56"/>
      <c r="G56" s="56"/>
    </row>
    <row r="57" spans="1:7">
      <c r="A57" s="146" t="s">
        <v>340</v>
      </c>
      <c r="B57" s="106" t="s">
        <v>394</v>
      </c>
      <c r="C57" s="52">
        <v>43466</v>
      </c>
      <c r="D57" s="50" t="s">
        <v>15</v>
      </c>
      <c r="E57" s="78"/>
      <c r="F57" s="56"/>
      <c r="G57" s="56"/>
    </row>
    <row r="58" spans="1:7">
      <c r="A58" s="146" t="s">
        <v>341</v>
      </c>
      <c r="B58" s="106" t="s">
        <v>395</v>
      </c>
      <c r="C58" s="52">
        <v>43466</v>
      </c>
      <c r="D58" s="50" t="s">
        <v>15</v>
      </c>
      <c r="E58" s="78"/>
      <c r="F58" s="56"/>
      <c r="G58" s="56"/>
    </row>
    <row r="59" spans="1:7">
      <c r="A59" s="146" t="s">
        <v>342</v>
      </c>
      <c r="B59" s="106" t="s">
        <v>396</v>
      </c>
      <c r="C59" s="52">
        <v>43466</v>
      </c>
      <c r="D59" s="50" t="s">
        <v>15</v>
      </c>
      <c r="E59" s="78"/>
      <c r="F59" s="56"/>
      <c r="G59" s="56"/>
    </row>
    <row r="60" spans="1:7">
      <c r="A60" s="146" t="s">
        <v>343</v>
      </c>
      <c r="B60" s="106" t="s">
        <v>397</v>
      </c>
      <c r="C60" s="52">
        <v>43466</v>
      </c>
      <c r="D60" s="50" t="s">
        <v>15</v>
      </c>
      <c r="E60" s="78"/>
      <c r="F60" s="56"/>
      <c r="G60" s="56"/>
    </row>
    <row r="61" spans="1:7">
      <c r="A61" s="146" t="s">
        <v>344</v>
      </c>
      <c r="B61" s="106" t="s">
        <v>398</v>
      </c>
      <c r="C61" s="52">
        <v>43466</v>
      </c>
      <c r="D61" s="50" t="s">
        <v>15</v>
      </c>
      <c r="E61" s="78"/>
      <c r="F61" s="56"/>
      <c r="G61" s="56"/>
    </row>
    <row r="62" spans="1:7">
      <c r="A62" s="146" t="s">
        <v>345</v>
      </c>
      <c r="B62" s="106" t="s">
        <v>399</v>
      </c>
      <c r="C62" s="52">
        <v>43466</v>
      </c>
      <c r="D62" s="50" t="s">
        <v>15</v>
      </c>
      <c r="E62" s="78"/>
      <c r="F62" s="56"/>
      <c r="G62" s="56"/>
    </row>
    <row r="63" spans="1:7">
      <c r="A63" s="146" t="s">
        <v>346</v>
      </c>
      <c r="B63" s="106" t="s">
        <v>400</v>
      </c>
      <c r="C63" s="52">
        <v>43466</v>
      </c>
      <c r="D63" s="50" t="s">
        <v>15</v>
      </c>
      <c r="E63" s="78"/>
      <c r="F63" s="56"/>
      <c r="G63" s="56"/>
    </row>
    <row r="64" spans="1:7">
      <c r="A64" s="146" t="s">
        <v>347</v>
      </c>
      <c r="B64" s="106" t="s">
        <v>401</v>
      </c>
      <c r="C64" s="52">
        <v>43466</v>
      </c>
      <c r="D64" s="50" t="s">
        <v>15</v>
      </c>
      <c r="E64" s="78"/>
      <c r="F64" s="56"/>
      <c r="G64" s="56"/>
    </row>
    <row r="65" spans="1:7">
      <c r="A65" s="146" t="s">
        <v>348</v>
      </c>
      <c r="B65" s="106" t="s">
        <v>402</v>
      </c>
      <c r="C65" s="52">
        <v>43466</v>
      </c>
      <c r="D65" s="50">
        <v>101.25</v>
      </c>
      <c r="E65" s="78"/>
      <c r="F65" s="56"/>
      <c r="G65" s="56"/>
    </row>
    <row r="66" spans="1:7">
      <c r="A66" s="105" t="s">
        <v>349</v>
      </c>
      <c r="B66" s="106" t="s">
        <v>403</v>
      </c>
      <c r="C66" s="52">
        <v>43466</v>
      </c>
      <c r="D66" s="50">
        <v>0.75</v>
      </c>
      <c r="E66" s="78"/>
      <c r="F66" s="56"/>
      <c r="G66" s="56"/>
    </row>
    <row r="67" spans="1:7">
      <c r="A67" s="70" t="s">
        <v>613</v>
      </c>
      <c r="B67" s="156" t="s">
        <v>631</v>
      </c>
      <c r="C67" s="52">
        <v>43466</v>
      </c>
      <c r="D67" s="157" t="s">
        <v>15</v>
      </c>
    </row>
    <row r="68" spans="1:7">
      <c r="A68" s="68" t="s">
        <v>616</v>
      </c>
      <c r="B68" s="53" t="s">
        <v>617</v>
      </c>
      <c r="C68" s="52">
        <v>43466</v>
      </c>
      <c r="D68" s="155" t="s">
        <v>16</v>
      </c>
    </row>
    <row r="69" spans="1:7">
      <c r="A69" s="68" t="s">
        <v>618</v>
      </c>
      <c r="B69" s="53" t="s">
        <v>619</v>
      </c>
      <c r="C69" s="52">
        <v>43466</v>
      </c>
      <c r="D69" s="155" t="s">
        <v>16</v>
      </c>
    </row>
    <row r="70" spans="1:7">
      <c r="A70" s="68" t="s">
        <v>620</v>
      </c>
      <c r="B70" s="53" t="s">
        <v>379</v>
      </c>
      <c r="C70" s="52">
        <v>43466</v>
      </c>
      <c r="D70" s="155" t="s">
        <v>16</v>
      </c>
    </row>
    <row r="71" spans="1:7">
      <c r="A71" s="68" t="s">
        <v>621</v>
      </c>
      <c r="B71" s="53" t="s">
        <v>627</v>
      </c>
      <c r="C71" s="52">
        <v>43466</v>
      </c>
      <c r="D71" s="155" t="s">
        <v>16</v>
      </c>
    </row>
    <row r="72" spans="1:7">
      <c r="A72" s="68" t="s">
        <v>622</v>
      </c>
      <c r="B72" s="53" t="s">
        <v>628</v>
      </c>
      <c r="C72" s="52">
        <v>43466</v>
      </c>
      <c r="D72" s="155" t="s">
        <v>16</v>
      </c>
    </row>
    <row r="73" spans="1:7">
      <c r="A73" s="158" t="s">
        <v>623</v>
      </c>
      <c r="B73" s="53" t="s">
        <v>629</v>
      </c>
      <c r="C73" s="52">
        <v>43466</v>
      </c>
      <c r="D73" s="155" t="s">
        <v>16</v>
      </c>
    </row>
    <row r="74" spans="1:7">
      <c r="A74" s="158" t="s">
        <v>624</v>
      </c>
      <c r="B74" s="53" t="s">
        <v>630</v>
      </c>
      <c r="C74" s="52">
        <v>43466</v>
      </c>
      <c r="D74" s="155" t="s">
        <v>16</v>
      </c>
    </row>
    <row r="75" spans="1:7">
      <c r="A75" s="158" t="s">
        <v>625</v>
      </c>
      <c r="B75" s="53" t="s">
        <v>595</v>
      </c>
      <c r="C75" s="52">
        <v>43466</v>
      </c>
      <c r="D75" s="155" t="s">
        <v>16</v>
      </c>
    </row>
    <row r="76" spans="1:7">
      <c r="A76" s="158" t="s">
        <v>626</v>
      </c>
      <c r="B76" s="53" t="s">
        <v>367</v>
      </c>
      <c r="C76" s="52">
        <v>43466</v>
      </c>
      <c r="D76" s="155" t="s">
        <v>16</v>
      </c>
    </row>
  </sheetData>
  <autoFilter ref="A9:G45" xr:uid="{00000000-0009-0000-0000-000005000000}"/>
  <conditionalFormatting sqref="A13:A19 A21:A24 A26:A29">
    <cfRule type="duplicateValues" dxfId="4" priority="5"/>
  </conditionalFormatting>
  <conditionalFormatting sqref="A10:A12">
    <cfRule type="duplicateValues" dxfId="3" priority="4"/>
  </conditionalFormatting>
  <conditionalFormatting sqref="A30">
    <cfRule type="duplicateValues" dxfId="2" priority="3"/>
  </conditionalFormatting>
  <conditionalFormatting sqref="A31:A37">
    <cfRule type="duplicateValues" dxfId="1" priority="2"/>
  </conditionalFormatting>
  <conditionalFormatting sqref="A25">
    <cfRule type="duplicateValues" dxfId="0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21:B45 B10:B19 B67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Internal Notes--Please Read</vt:lpstr>
      <vt:lpstr>Surgery, Medicine, Radiol, E&amp;M</vt:lpstr>
      <vt:lpstr>Behavioral Health</vt:lpstr>
      <vt:lpstr>Clinical Lab</vt:lpstr>
      <vt:lpstr>DMEPOS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2018-12-26T20:21:00Z</dcterms:modified>
</cp:coreProperties>
</file>